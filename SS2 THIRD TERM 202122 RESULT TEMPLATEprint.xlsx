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ae9\AC\Temp\"/>
    </mc:Choice>
  </mc:AlternateContent>
  <xr:revisionPtr revIDLastSave="0" documentId="8_{0CEC0C84-5282-594C-996E-5E09844079F2}" xr6:coauthVersionLast="45" xr6:coauthVersionMax="45" xr10:uidLastSave="{00000000-0000-0000-0000-000000000000}"/>
  <bookViews>
    <workbookView xWindow="0" yWindow="0" windowWidth="20730" windowHeight="10320" tabRatio="874" activeTab="18" xr2:uid="{00000000-000D-0000-FFFF-FFFF00000000}"/>
  </bookViews>
  <sheets>
    <sheet name="BABALOLA6" sheetId="20" r:id="rId1"/>
    <sheet name="ATOLOYE7" sheetId="21" r:id="rId2"/>
    <sheet name="OLULEYE8" sheetId="22" r:id="rId3"/>
    <sheet name="AKINDELE9" sheetId="23" r:id="rId4"/>
    <sheet name="OJO10" sheetId="24" r:id="rId5"/>
    <sheet name="SHOTUNDE11" sheetId="27" r:id="rId6"/>
    <sheet name="WILLIAMS12" sheetId="26" r:id="rId7"/>
    <sheet name="POPOOLA13" sheetId="29" r:id="rId8"/>
    <sheet name="AIKABELI14" sheetId="31" r:id="rId9"/>
    <sheet name="ADENIJI15" sheetId="32" r:id="rId10"/>
    <sheet name="AGBOOLA16" sheetId="35" r:id="rId11"/>
    <sheet name="OLUWOLE17" sheetId="36" r:id="rId12"/>
    <sheet name="ATANDA18" sheetId="37" state="hidden" r:id="rId13"/>
    <sheet name="RHODES19" sheetId="38" r:id="rId14"/>
    <sheet name="ADEBAYO20" sheetId="39" r:id="rId15"/>
    <sheet name="SALAU21" sheetId="40" r:id="rId16"/>
    <sheet name="AKINDELE F22" sheetId="41" r:id="rId17"/>
    <sheet name="ALEBIOSU23" sheetId="42" state="hidden" r:id="rId18"/>
    <sheet name="FAKOREDE24" sheetId="43" r:id="rId19"/>
    <sheet name="Sheet1" sheetId="45" r:id="rId20"/>
    <sheet name="AGBOOLA16 (5)" sheetId="44" state="hidden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3" i="43" l="1"/>
  <c r="D53" i="41"/>
  <c r="D53" i="40"/>
  <c r="D53" i="39"/>
  <c r="D53" i="38"/>
  <c r="D53" i="36"/>
  <c r="D53" i="35"/>
  <c r="D53" i="32"/>
  <c r="D53" i="31"/>
  <c r="D53" i="29"/>
  <c r="D53" i="26"/>
  <c r="D53" i="27"/>
  <c r="D53" i="24"/>
  <c r="D53" i="23"/>
  <c r="D53" i="22"/>
  <c r="D53" i="21"/>
  <c r="D53" i="20"/>
  <c r="D45" i="26"/>
  <c r="D45" i="39"/>
  <c r="D45" i="41"/>
  <c r="D45" i="43"/>
  <c r="D45" i="40"/>
  <c r="D45" i="31"/>
  <c r="D45" i="27"/>
  <c r="D45" i="24"/>
  <c r="D45" i="38"/>
  <c r="D45" i="36"/>
  <c r="D45" i="35"/>
  <c r="D45" i="32"/>
  <c r="D45" i="29"/>
  <c r="D45" i="23"/>
  <c r="D45" i="22"/>
  <c r="D45" i="21"/>
  <c r="D45" i="20"/>
  <c r="D41" i="20"/>
  <c r="I33" i="20"/>
  <c r="J33" i="20"/>
  <c r="I28" i="20"/>
  <c r="J28" i="20"/>
  <c r="B20" i="45"/>
  <c r="B21" i="45"/>
  <c r="B22" i="45"/>
  <c r="B23" i="45"/>
  <c r="B2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6" i="45"/>
  <c r="I16" i="42"/>
  <c r="J16" i="42"/>
  <c r="I17" i="42"/>
  <c r="J17" i="42"/>
  <c r="I18" i="42"/>
  <c r="J18" i="42"/>
  <c r="I19" i="42"/>
  <c r="J19" i="42"/>
  <c r="I20" i="42"/>
  <c r="J20" i="42"/>
  <c r="I21" i="42"/>
  <c r="J21" i="42"/>
  <c r="I22" i="42"/>
  <c r="J22" i="42"/>
  <c r="I23" i="42"/>
  <c r="J23" i="42"/>
  <c r="I24" i="42"/>
  <c r="J24" i="42"/>
  <c r="I25" i="42"/>
  <c r="J25" i="42"/>
  <c r="I26" i="42"/>
  <c r="J26" i="42"/>
  <c r="I27" i="42"/>
  <c r="J27" i="42"/>
  <c r="I28" i="42"/>
  <c r="J28" i="42"/>
  <c r="I29" i="42"/>
  <c r="J29" i="42"/>
  <c r="I30" i="42"/>
  <c r="J30" i="42"/>
  <c r="I31" i="42"/>
  <c r="J31" i="42"/>
  <c r="I32" i="42"/>
  <c r="J32" i="42"/>
  <c r="I33" i="42"/>
  <c r="J33" i="42"/>
  <c r="I34" i="42"/>
  <c r="J34" i="42"/>
  <c r="I35" i="42"/>
  <c r="J35" i="42"/>
  <c r="D41" i="42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15" i="21"/>
  <c r="I16" i="21"/>
  <c r="I27" i="22"/>
  <c r="J27" i="22"/>
  <c r="I27" i="32"/>
  <c r="J27" i="32"/>
  <c r="I17" i="32"/>
  <c r="J17" i="32"/>
  <c r="I18" i="32"/>
  <c r="J18" i="32"/>
  <c r="I19" i="32"/>
  <c r="J19" i="32"/>
  <c r="I20" i="32"/>
  <c r="J20" i="32"/>
  <c r="I21" i="32"/>
  <c r="J21" i="32"/>
  <c r="I22" i="32"/>
  <c r="J22" i="32"/>
  <c r="I23" i="32"/>
  <c r="J23" i="32"/>
  <c r="I24" i="32"/>
  <c r="J24" i="32"/>
  <c r="I25" i="32"/>
  <c r="J25" i="32"/>
  <c r="I26" i="32"/>
  <c r="J26" i="32"/>
  <c r="I28" i="32"/>
  <c r="J28" i="32"/>
  <c r="I29" i="32"/>
  <c r="J29" i="32"/>
  <c r="I30" i="32"/>
  <c r="J30" i="32"/>
  <c r="I31" i="32"/>
  <c r="J31" i="32"/>
  <c r="I32" i="32"/>
  <c r="J32" i="32"/>
  <c r="I33" i="32"/>
  <c r="J33" i="32"/>
  <c r="I34" i="32"/>
  <c r="J34" i="32"/>
  <c r="I35" i="32"/>
  <c r="J35" i="3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8" i="22"/>
  <c r="J28" i="22"/>
  <c r="I29" i="22"/>
  <c r="J29" i="22"/>
  <c r="I30" i="22"/>
  <c r="J30" i="22"/>
  <c r="I31" i="22"/>
  <c r="J31" i="22"/>
  <c r="I32" i="22"/>
  <c r="J32" i="22"/>
  <c r="I33" i="22"/>
  <c r="J33" i="22"/>
  <c r="I34" i="22"/>
  <c r="J34" i="22"/>
  <c r="I35" i="22"/>
  <c r="J35" i="22"/>
  <c r="I16" i="29"/>
  <c r="J16" i="29"/>
  <c r="I23" i="29"/>
  <c r="J23" i="29"/>
  <c r="I28" i="29"/>
  <c r="J28" i="29"/>
  <c r="I33" i="29"/>
  <c r="J33" i="29"/>
  <c r="I32" i="31"/>
  <c r="J32" i="31"/>
  <c r="I19" i="31"/>
  <c r="J19" i="31"/>
  <c r="I23" i="31"/>
  <c r="J23" i="31"/>
  <c r="I28" i="31"/>
  <c r="J28" i="31"/>
  <c r="I16" i="32"/>
  <c r="J16" i="32"/>
  <c r="I15" i="26"/>
  <c r="J15" i="26"/>
  <c r="I16" i="26"/>
  <c r="J16" i="26"/>
  <c r="I23" i="26"/>
  <c r="J23" i="26"/>
  <c r="I28" i="26"/>
  <c r="J28" i="26"/>
  <c r="I33" i="26"/>
  <c r="J33" i="26"/>
  <c r="I15" i="23"/>
  <c r="J15" i="23"/>
  <c r="I16" i="23"/>
  <c r="J16" i="23"/>
  <c r="I23" i="23"/>
  <c r="J23" i="23"/>
  <c r="I28" i="23"/>
  <c r="J28" i="23"/>
  <c r="I33" i="23"/>
  <c r="J33" i="23"/>
  <c r="I32" i="24"/>
  <c r="J32" i="24"/>
  <c r="I19" i="24"/>
  <c r="J19" i="24"/>
  <c r="I23" i="24"/>
  <c r="J23" i="24"/>
  <c r="I28" i="24"/>
  <c r="J28" i="24"/>
  <c r="J30" i="27"/>
  <c r="I35" i="27"/>
  <c r="J35" i="27"/>
  <c r="M18" i="43"/>
  <c r="N18" i="43"/>
  <c r="I19" i="43"/>
  <c r="J19" i="43"/>
  <c r="M19" i="43"/>
  <c r="N19" i="43"/>
  <c r="M20" i="43"/>
  <c r="N20" i="43"/>
  <c r="M21" i="43"/>
  <c r="N21" i="43"/>
  <c r="I22" i="43"/>
  <c r="J22" i="43"/>
  <c r="M22" i="43"/>
  <c r="N22" i="43"/>
  <c r="I23" i="43"/>
  <c r="J23" i="43"/>
  <c r="M23" i="43"/>
  <c r="N23" i="43"/>
  <c r="M24" i="43"/>
  <c r="N24" i="43"/>
  <c r="M25" i="43"/>
  <c r="N25" i="43"/>
  <c r="M26" i="43"/>
  <c r="N26" i="43"/>
  <c r="M27" i="43"/>
  <c r="N27" i="43"/>
  <c r="I28" i="43"/>
  <c r="J28" i="43"/>
  <c r="M28" i="43"/>
  <c r="N28" i="43"/>
  <c r="M29" i="43"/>
  <c r="N29" i="43"/>
  <c r="I30" i="43"/>
  <c r="J30" i="43"/>
  <c r="M30" i="43"/>
  <c r="N30" i="43"/>
  <c r="M31" i="43"/>
  <c r="N31" i="43"/>
  <c r="I32" i="43"/>
  <c r="J32" i="43"/>
  <c r="M32" i="43"/>
  <c r="N32" i="43"/>
  <c r="M33" i="43"/>
  <c r="N33" i="43"/>
  <c r="M34" i="43"/>
  <c r="N34" i="43"/>
  <c r="M35" i="43"/>
  <c r="N35" i="43"/>
  <c r="M36" i="43"/>
  <c r="N36" i="43"/>
  <c r="I37" i="43"/>
  <c r="J37" i="43"/>
  <c r="M37" i="43"/>
  <c r="N37" i="43"/>
  <c r="I17" i="43"/>
  <c r="J17" i="43"/>
  <c r="N17" i="43"/>
  <c r="M17" i="43"/>
  <c r="M18" i="41"/>
  <c r="N18" i="41"/>
  <c r="M19" i="41"/>
  <c r="N19" i="41"/>
  <c r="I20" i="41"/>
  <c r="J20" i="41"/>
  <c r="M20" i="41"/>
  <c r="N20" i="41"/>
  <c r="M21" i="41"/>
  <c r="N21" i="41"/>
  <c r="I22" i="41"/>
  <c r="J22" i="41"/>
  <c r="M22" i="41"/>
  <c r="N22" i="41"/>
  <c r="I23" i="41"/>
  <c r="J23" i="41"/>
  <c r="M23" i="41"/>
  <c r="N23" i="41"/>
  <c r="I24" i="41"/>
  <c r="J24" i="41"/>
  <c r="M24" i="41"/>
  <c r="N24" i="41"/>
  <c r="M25" i="41"/>
  <c r="N25" i="41"/>
  <c r="M26" i="41"/>
  <c r="N26" i="41"/>
  <c r="M27" i="41"/>
  <c r="N27" i="41"/>
  <c r="I28" i="41"/>
  <c r="J28" i="41"/>
  <c r="M28" i="41"/>
  <c r="N28" i="41"/>
  <c r="M29" i="41"/>
  <c r="N29" i="41"/>
  <c r="I30" i="41"/>
  <c r="J30" i="41"/>
  <c r="M30" i="41"/>
  <c r="N30" i="41"/>
  <c r="M31" i="41"/>
  <c r="N31" i="41"/>
  <c r="M32" i="41"/>
  <c r="N32" i="41"/>
  <c r="M33" i="41"/>
  <c r="N33" i="41"/>
  <c r="M34" i="41"/>
  <c r="N34" i="41"/>
  <c r="M35" i="41"/>
  <c r="N35" i="41"/>
  <c r="I17" i="41"/>
  <c r="J17" i="41"/>
  <c r="N17" i="41"/>
  <c r="M17" i="41"/>
  <c r="M18" i="40"/>
  <c r="N18" i="40"/>
  <c r="I19" i="40"/>
  <c r="J19" i="40"/>
  <c r="M19" i="40"/>
  <c r="N19" i="40"/>
  <c r="M20" i="40"/>
  <c r="N20" i="40"/>
  <c r="M21" i="40"/>
  <c r="N21" i="40"/>
  <c r="I22" i="40"/>
  <c r="J22" i="40"/>
  <c r="M22" i="40"/>
  <c r="N22" i="40"/>
  <c r="I23" i="40"/>
  <c r="J23" i="40"/>
  <c r="M23" i="40"/>
  <c r="N23" i="40"/>
  <c r="M24" i="40"/>
  <c r="N24" i="40"/>
  <c r="M25" i="40"/>
  <c r="N25" i="40"/>
  <c r="M26" i="40"/>
  <c r="N26" i="40"/>
  <c r="M27" i="40"/>
  <c r="N27" i="40"/>
  <c r="I28" i="40"/>
  <c r="J28" i="40"/>
  <c r="M28" i="40"/>
  <c r="N28" i="40"/>
  <c r="I17" i="40"/>
  <c r="J17" i="40"/>
  <c r="N17" i="40"/>
  <c r="M17" i="40"/>
  <c r="M18" i="39"/>
  <c r="N18" i="39"/>
  <c r="M19" i="39"/>
  <c r="N19" i="39"/>
  <c r="I20" i="39"/>
  <c r="J20" i="39"/>
  <c r="M20" i="39"/>
  <c r="N20" i="39"/>
  <c r="M21" i="39"/>
  <c r="N21" i="39"/>
  <c r="I22" i="39"/>
  <c r="J22" i="39"/>
  <c r="M22" i="39"/>
  <c r="N22" i="39"/>
  <c r="I23" i="39"/>
  <c r="J23" i="39"/>
  <c r="M23" i="39"/>
  <c r="N23" i="39"/>
  <c r="I24" i="39"/>
  <c r="J24" i="39"/>
  <c r="M24" i="39"/>
  <c r="N24" i="39"/>
  <c r="M25" i="39"/>
  <c r="N25" i="39"/>
  <c r="M26" i="39"/>
  <c r="N26" i="39"/>
  <c r="M27" i="39"/>
  <c r="N27" i="39"/>
  <c r="I28" i="39"/>
  <c r="J28" i="39"/>
  <c r="M28" i="39"/>
  <c r="N28" i="39"/>
  <c r="M29" i="39"/>
  <c r="N29" i="39"/>
  <c r="I30" i="39"/>
  <c r="J30" i="39"/>
  <c r="M30" i="39"/>
  <c r="N30" i="39"/>
  <c r="M31" i="39"/>
  <c r="N31" i="39"/>
  <c r="M32" i="39"/>
  <c r="N32" i="39"/>
  <c r="M33" i="39"/>
  <c r="N33" i="39"/>
  <c r="M34" i="39"/>
  <c r="N34" i="39"/>
  <c r="M35" i="39"/>
  <c r="N35" i="39"/>
  <c r="I17" i="39"/>
  <c r="J17" i="39"/>
  <c r="N17" i="39"/>
  <c r="M17" i="39"/>
  <c r="I16" i="38"/>
  <c r="J16" i="38"/>
  <c r="M16" i="38"/>
  <c r="N16" i="38"/>
  <c r="I17" i="38"/>
  <c r="J17" i="38"/>
  <c r="M17" i="38"/>
  <c r="N17" i="38"/>
  <c r="I18" i="38"/>
  <c r="J18" i="38"/>
  <c r="M18" i="38"/>
  <c r="N18" i="38"/>
  <c r="M19" i="38"/>
  <c r="N19" i="38"/>
  <c r="M20" i="38"/>
  <c r="N20" i="38"/>
  <c r="M21" i="38"/>
  <c r="N21" i="38"/>
  <c r="I22" i="38"/>
  <c r="J22" i="38"/>
  <c r="M22" i="38"/>
  <c r="N22" i="38"/>
  <c r="I23" i="38"/>
  <c r="J23" i="38"/>
  <c r="M23" i="38"/>
  <c r="N23" i="38"/>
  <c r="M24" i="38"/>
  <c r="N24" i="38"/>
  <c r="M25" i="38"/>
  <c r="N25" i="38"/>
  <c r="M26" i="38"/>
  <c r="N26" i="38"/>
  <c r="M27" i="38"/>
  <c r="N27" i="38"/>
  <c r="I28" i="38"/>
  <c r="J28" i="38"/>
  <c r="M28" i="38"/>
  <c r="N28" i="38"/>
  <c r="M29" i="38"/>
  <c r="N29" i="38"/>
  <c r="M30" i="38"/>
  <c r="N30" i="38"/>
  <c r="M31" i="38"/>
  <c r="N31" i="38"/>
  <c r="M32" i="38"/>
  <c r="N32" i="38"/>
  <c r="I33" i="38"/>
  <c r="J33" i="38"/>
  <c r="M33" i="38"/>
  <c r="N33" i="38"/>
  <c r="M34" i="38"/>
  <c r="N34" i="38"/>
  <c r="M35" i="38"/>
  <c r="N35" i="38"/>
  <c r="I15" i="38"/>
  <c r="J15" i="38"/>
  <c r="N15" i="38"/>
  <c r="M15" i="38"/>
  <c r="I16" i="36"/>
  <c r="J16" i="36"/>
  <c r="M16" i="36"/>
  <c r="N16" i="36"/>
  <c r="I17" i="36"/>
  <c r="J17" i="36"/>
  <c r="M17" i="36"/>
  <c r="N17" i="36"/>
  <c r="I18" i="36"/>
  <c r="J18" i="36"/>
  <c r="M18" i="36"/>
  <c r="N18" i="36"/>
  <c r="M19" i="36"/>
  <c r="N19" i="36"/>
  <c r="M20" i="36"/>
  <c r="N20" i="36"/>
  <c r="M21" i="36"/>
  <c r="N21" i="36"/>
  <c r="I22" i="36"/>
  <c r="J22" i="36"/>
  <c r="M22" i="36"/>
  <c r="N22" i="36"/>
  <c r="I23" i="36"/>
  <c r="J23" i="36"/>
  <c r="M23" i="36"/>
  <c r="N23" i="36"/>
  <c r="M24" i="36"/>
  <c r="N24" i="36"/>
  <c r="M25" i="36"/>
  <c r="N25" i="36"/>
  <c r="M26" i="36"/>
  <c r="N26" i="36"/>
  <c r="M27" i="36"/>
  <c r="N27" i="36"/>
  <c r="I28" i="36"/>
  <c r="J28" i="36"/>
  <c r="M28" i="36"/>
  <c r="N28" i="36"/>
  <c r="M29" i="36"/>
  <c r="N29" i="36"/>
  <c r="M30" i="36"/>
  <c r="N30" i="36"/>
  <c r="M31" i="36"/>
  <c r="N31" i="36"/>
  <c r="M32" i="36"/>
  <c r="N32" i="36"/>
  <c r="I33" i="36"/>
  <c r="J33" i="36"/>
  <c r="M33" i="36"/>
  <c r="N33" i="36"/>
  <c r="M34" i="36"/>
  <c r="N34" i="36"/>
  <c r="M35" i="36"/>
  <c r="N35" i="36"/>
  <c r="I15" i="36"/>
  <c r="J15" i="36"/>
  <c r="N15" i="36"/>
  <c r="M15" i="36"/>
  <c r="I17" i="35"/>
  <c r="J17" i="35"/>
  <c r="M17" i="35"/>
  <c r="N17" i="35"/>
  <c r="I18" i="35"/>
  <c r="J18" i="35"/>
  <c r="M18" i="35"/>
  <c r="N18" i="35"/>
  <c r="M19" i="35"/>
  <c r="N19" i="35"/>
  <c r="M20" i="35"/>
  <c r="N20" i="35"/>
  <c r="M21" i="35"/>
  <c r="N21" i="35"/>
  <c r="I22" i="35"/>
  <c r="J22" i="35"/>
  <c r="M22" i="35"/>
  <c r="N22" i="35"/>
  <c r="I23" i="35"/>
  <c r="J23" i="35"/>
  <c r="M23" i="35"/>
  <c r="N23" i="35"/>
  <c r="M24" i="35"/>
  <c r="N24" i="35"/>
  <c r="M25" i="35"/>
  <c r="N25" i="35"/>
  <c r="M26" i="35"/>
  <c r="N26" i="35"/>
  <c r="I27" i="35"/>
  <c r="J27" i="35"/>
  <c r="M27" i="35"/>
  <c r="N27" i="35"/>
  <c r="I28" i="35"/>
  <c r="J28" i="35"/>
  <c r="M28" i="35"/>
  <c r="N28" i="35"/>
  <c r="M29" i="35"/>
  <c r="N29" i="35"/>
  <c r="M30" i="35"/>
  <c r="N30" i="35"/>
  <c r="M31" i="35"/>
  <c r="N31" i="35"/>
  <c r="M32" i="35"/>
  <c r="N32" i="35"/>
  <c r="I33" i="35"/>
  <c r="J33" i="35"/>
  <c r="M33" i="35"/>
  <c r="N33" i="35"/>
  <c r="M34" i="35"/>
  <c r="N34" i="35"/>
  <c r="M35" i="35"/>
  <c r="N35" i="35"/>
  <c r="I16" i="35"/>
  <c r="J16" i="35"/>
  <c r="N16" i="35"/>
  <c r="M16" i="35"/>
  <c r="M17" i="32"/>
  <c r="N17" i="32"/>
  <c r="M18" i="32"/>
  <c r="N18" i="32"/>
  <c r="M19" i="32"/>
  <c r="N19" i="32"/>
  <c r="M20" i="32"/>
  <c r="N20" i="32"/>
  <c r="M21" i="32"/>
  <c r="N21" i="32"/>
  <c r="M22" i="32"/>
  <c r="N22" i="32"/>
  <c r="M23" i="32"/>
  <c r="N23" i="32"/>
  <c r="M24" i="32"/>
  <c r="N24" i="32"/>
  <c r="M25" i="32"/>
  <c r="N25" i="32"/>
  <c r="M26" i="32"/>
  <c r="N26" i="32"/>
  <c r="M27" i="32"/>
  <c r="N27" i="32"/>
  <c r="M28" i="32"/>
  <c r="N28" i="32"/>
  <c r="M29" i="32"/>
  <c r="N29" i="32"/>
  <c r="M30" i="32"/>
  <c r="N30" i="32"/>
  <c r="M31" i="32"/>
  <c r="N31" i="32"/>
  <c r="M32" i="32"/>
  <c r="N32" i="32"/>
  <c r="M33" i="32"/>
  <c r="N33" i="32"/>
  <c r="M34" i="32"/>
  <c r="N34" i="32"/>
  <c r="M35" i="32"/>
  <c r="N35" i="32"/>
  <c r="N16" i="32"/>
  <c r="M16" i="32"/>
  <c r="M18" i="31"/>
  <c r="N18" i="31"/>
  <c r="M19" i="31"/>
  <c r="N19" i="31"/>
  <c r="M20" i="31"/>
  <c r="N20" i="31"/>
  <c r="M21" i="31"/>
  <c r="N21" i="31"/>
  <c r="I22" i="31"/>
  <c r="J22" i="31"/>
  <c r="M22" i="31"/>
  <c r="N22" i="31"/>
  <c r="M23" i="31"/>
  <c r="N23" i="31"/>
  <c r="M24" i="31"/>
  <c r="N24" i="31"/>
  <c r="M25" i="31"/>
  <c r="N25" i="31"/>
  <c r="M26" i="31"/>
  <c r="N26" i="31"/>
  <c r="M27" i="31"/>
  <c r="N27" i="31"/>
  <c r="M28" i="31"/>
  <c r="N28" i="31"/>
  <c r="M29" i="31"/>
  <c r="N29" i="31"/>
  <c r="I30" i="31"/>
  <c r="J30" i="31"/>
  <c r="M30" i="31"/>
  <c r="N30" i="31"/>
  <c r="M31" i="31"/>
  <c r="N31" i="31"/>
  <c r="M32" i="31"/>
  <c r="N32" i="31"/>
  <c r="M33" i="31"/>
  <c r="N33" i="31"/>
  <c r="M34" i="31"/>
  <c r="N34" i="31"/>
  <c r="M35" i="31"/>
  <c r="N35" i="31"/>
  <c r="M36" i="31"/>
  <c r="N36" i="31"/>
  <c r="I37" i="31"/>
  <c r="J37" i="31"/>
  <c r="M37" i="31"/>
  <c r="N37" i="31"/>
  <c r="I17" i="31"/>
  <c r="J17" i="31"/>
  <c r="N17" i="31"/>
  <c r="M17" i="31"/>
  <c r="I17" i="29"/>
  <c r="J17" i="29"/>
  <c r="M17" i="29"/>
  <c r="N17" i="29"/>
  <c r="I18" i="29"/>
  <c r="J18" i="29"/>
  <c r="M18" i="29"/>
  <c r="N18" i="29"/>
  <c r="M19" i="29"/>
  <c r="N19" i="29"/>
  <c r="M20" i="29"/>
  <c r="N20" i="29"/>
  <c r="M21" i="29"/>
  <c r="N21" i="29"/>
  <c r="I22" i="29"/>
  <c r="J22" i="29"/>
  <c r="M22" i="29"/>
  <c r="N22" i="29"/>
  <c r="M23" i="29"/>
  <c r="N23" i="29"/>
  <c r="M24" i="29"/>
  <c r="N24" i="29"/>
  <c r="M25" i="29"/>
  <c r="N25" i="29"/>
  <c r="M26" i="29"/>
  <c r="N26" i="29"/>
  <c r="I27" i="29"/>
  <c r="J27" i="29"/>
  <c r="M27" i="29"/>
  <c r="N27" i="29"/>
  <c r="M28" i="29"/>
  <c r="N28" i="29"/>
  <c r="M29" i="29"/>
  <c r="N29" i="29"/>
  <c r="M30" i="29"/>
  <c r="N30" i="29"/>
  <c r="M31" i="29"/>
  <c r="N31" i="29"/>
  <c r="M32" i="29"/>
  <c r="N32" i="29"/>
  <c r="M33" i="29"/>
  <c r="N33" i="29"/>
  <c r="M34" i="29"/>
  <c r="N34" i="29"/>
  <c r="M35" i="29"/>
  <c r="N35" i="29"/>
  <c r="N16" i="29"/>
  <c r="M16" i="29"/>
  <c r="M16" i="26"/>
  <c r="N16" i="26"/>
  <c r="I17" i="26"/>
  <c r="J17" i="26"/>
  <c r="M17" i="26"/>
  <c r="N17" i="26"/>
  <c r="I18" i="26"/>
  <c r="J18" i="26"/>
  <c r="M18" i="26"/>
  <c r="N18" i="26"/>
  <c r="M19" i="26"/>
  <c r="N19" i="26"/>
  <c r="M20" i="26"/>
  <c r="N20" i="26"/>
  <c r="M21" i="26"/>
  <c r="N21" i="26"/>
  <c r="I22" i="26"/>
  <c r="J22" i="26"/>
  <c r="M22" i="26"/>
  <c r="N22" i="26"/>
  <c r="M23" i="26"/>
  <c r="N23" i="26"/>
  <c r="M24" i="26"/>
  <c r="N24" i="26"/>
  <c r="M25" i="26"/>
  <c r="N25" i="26"/>
  <c r="M26" i="26"/>
  <c r="N26" i="26"/>
  <c r="M27" i="26"/>
  <c r="N27" i="26"/>
  <c r="M28" i="26"/>
  <c r="N28" i="26"/>
  <c r="M29" i="26"/>
  <c r="N29" i="26"/>
  <c r="M30" i="26"/>
  <c r="N30" i="26"/>
  <c r="M31" i="26"/>
  <c r="N31" i="26"/>
  <c r="M32" i="26"/>
  <c r="N32" i="26"/>
  <c r="M33" i="26"/>
  <c r="N33" i="26"/>
  <c r="M34" i="26"/>
  <c r="N34" i="26"/>
  <c r="M35" i="26"/>
  <c r="N35" i="26"/>
  <c r="N15" i="26"/>
  <c r="M15" i="26"/>
  <c r="M18" i="27"/>
  <c r="N18" i="27"/>
  <c r="I19" i="27"/>
  <c r="J19" i="27"/>
  <c r="M19" i="27"/>
  <c r="N19" i="27"/>
  <c r="M20" i="27"/>
  <c r="N20" i="27"/>
  <c r="M21" i="27"/>
  <c r="N21" i="27"/>
  <c r="I22" i="27"/>
  <c r="J22" i="27"/>
  <c r="M22" i="27"/>
  <c r="N22" i="27"/>
  <c r="I23" i="27"/>
  <c r="J23" i="27"/>
  <c r="M23" i="27"/>
  <c r="N23" i="27"/>
  <c r="M24" i="27"/>
  <c r="N24" i="27"/>
  <c r="M25" i="27"/>
  <c r="N25" i="27"/>
  <c r="M26" i="27"/>
  <c r="N26" i="27"/>
  <c r="M27" i="27"/>
  <c r="N27" i="27"/>
  <c r="I28" i="27"/>
  <c r="J28" i="27"/>
  <c r="M28" i="27"/>
  <c r="N28" i="27"/>
  <c r="M29" i="27"/>
  <c r="N29" i="27"/>
  <c r="I30" i="27"/>
  <c r="M30" i="27"/>
  <c r="N30" i="27"/>
  <c r="M31" i="27"/>
  <c r="N31" i="27"/>
  <c r="I32" i="27"/>
  <c r="J32" i="27"/>
  <c r="M32" i="27"/>
  <c r="N32" i="27"/>
  <c r="M33" i="27"/>
  <c r="N33" i="27"/>
  <c r="M34" i="27"/>
  <c r="N34" i="27"/>
  <c r="M35" i="27"/>
  <c r="N35" i="27"/>
  <c r="M36" i="27"/>
  <c r="N36" i="27"/>
  <c r="I37" i="27"/>
  <c r="J37" i="27"/>
  <c r="M37" i="27"/>
  <c r="N37" i="27"/>
  <c r="I17" i="27"/>
  <c r="J17" i="27"/>
  <c r="N17" i="27"/>
  <c r="M17" i="27"/>
  <c r="M18" i="24"/>
  <c r="N18" i="24"/>
  <c r="M19" i="24"/>
  <c r="N19" i="24"/>
  <c r="M20" i="24"/>
  <c r="N20" i="24"/>
  <c r="M21" i="24"/>
  <c r="N21" i="24"/>
  <c r="I22" i="24"/>
  <c r="J22" i="24"/>
  <c r="M22" i="24"/>
  <c r="N22" i="24"/>
  <c r="M23" i="24"/>
  <c r="N23" i="24"/>
  <c r="M24" i="24"/>
  <c r="N24" i="24"/>
  <c r="M25" i="24"/>
  <c r="N25" i="24"/>
  <c r="M26" i="24"/>
  <c r="N26" i="24"/>
  <c r="M27" i="24"/>
  <c r="N27" i="24"/>
  <c r="M28" i="24"/>
  <c r="N28" i="24"/>
  <c r="M29" i="24"/>
  <c r="N29" i="24"/>
  <c r="I30" i="24"/>
  <c r="J30" i="24"/>
  <c r="M30" i="24"/>
  <c r="N30" i="24"/>
  <c r="M31" i="24"/>
  <c r="N31" i="24"/>
  <c r="M32" i="24"/>
  <c r="N32" i="24"/>
  <c r="M33" i="24"/>
  <c r="N33" i="24"/>
  <c r="M34" i="24"/>
  <c r="N34" i="24"/>
  <c r="M35" i="24"/>
  <c r="N35" i="24"/>
  <c r="M36" i="24"/>
  <c r="N36" i="24"/>
  <c r="I37" i="24"/>
  <c r="J37" i="24"/>
  <c r="M37" i="24"/>
  <c r="N37" i="24"/>
  <c r="I17" i="24"/>
  <c r="J17" i="24"/>
  <c r="N17" i="24"/>
  <c r="M17" i="24"/>
  <c r="M16" i="23"/>
  <c r="N16" i="23"/>
  <c r="I17" i="23"/>
  <c r="J17" i="23"/>
  <c r="M17" i="23"/>
  <c r="N17" i="23"/>
  <c r="I18" i="23"/>
  <c r="J18" i="23"/>
  <c r="M18" i="23"/>
  <c r="N18" i="23"/>
  <c r="M19" i="23"/>
  <c r="N19" i="23"/>
  <c r="M20" i="23"/>
  <c r="N20" i="23"/>
  <c r="M21" i="23"/>
  <c r="N21" i="23"/>
  <c r="I22" i="23"/>
  <c r="J22" i="23"/>
  <c r="M22" i="23"/>
  <c r="N22" i="23"/>
  <c r="M23" i="23"/>
  <c r="N23" i="23"/>
  <c r="M24" i="23"/>
  <c r="N24" i="23"/>
  <c r="M25" i="23"/>
  <c r="N25" i="23"/>
  <c r="M26" i="23"/>
  <c r="N26" i="23"/>
  <c r="M27" i="23"/>
  <c r="N27" i="23"/>
  <c r="M28" i="23"/>
  <c r="N28" i="23"/>
  <c r="M29" i="23"/>
  <c r="N29" i="23"/>
  <c r="M30" i="23"/>
  <c r="N30" i="23"/>
  <c r="M31" i="23"/>
  <c r="N31" i="23"/>
  <c r="M32" i="23"/>
  <c r="N32" i="23"/>
  <c r="M33" i="23"/>
  <c r="N33" i="23"/>
  <c r="M34" i="23"/>
  <c r="N34" i="23"/>
  <c r="M35" i="23"/>
  <c r="N35" i="23"/>
  <c r="N15" i="23"/>
  <c r="M15" i="23"/>
  <c r="M17" i="22"/>
  <c r="N17" i="22"/>
  <c r="M18" i="22"/>
  <c r="N18" i="22"/>
  <c r="M19" i="22"/>
  <c r="N19" i="22"/>
  <c r="M20" i="22"/>
  <c r="N20" i="22"/>
  <c r="M21" i="22"/>
  <c r="N21" i="22"/>
  <c r="M22" i="22"/>
  <c r="N22" i="22"/>
  <c r="M23" i="22"/>
  <c r="N23" i="22"/>
  <c r="M24" i="22"/>
  <c r="N24" i="22"/>
  <c r="M25" i="22"/>
  <c r="N25" i="22"/>
  <c r="M26" i="22"/>
  <c r="N26" i="22"/>
  <c r="M27" i="22"/>
  <c r="N27" i="22"/>
  <c r="M28" i="22"/>
  <c r="N28" i="22"/>
  <c r="M29" i="22"/>
  <c r="N29" i="22"/>
  <c r="M30" i="22"/>
  <c r="N30" i="22"/>
  <c r="M31" i="22"/>
  <c r="N31" i="22"/>
  <c r="M32" i="22"/>
  <c r="N32" i="22"/>
  <c r="M33" i="22"/>
  <c r="N33" i="22"/>
  <c r="M34" i="22"/>
  <c r="N34" i="22"/>
  <c r="M35" i="22"/>
  <c r="N35" i="22"/>
  <c r="I16" i="22"/>
  <c r="J16" i="22"/>
  <c r="N16" i="22"/>
  <c r="M16" i="22"/>
  <c r="J17" i="21"/>
  <c r="M17" i="21"/>
  <c r="N17" i="21"/>
  <c r="J18" i="21"/>
  <c r="M18" i="21"/>
  <c r="N18" i="21"/>
  <c r="M19" i="21"/>
  <c r="N19" i="21"/>
  <c r="M20" i="21"/>
  <c r="N20" i="21"/>
  <c r="J21" i="21"/>
  <c r="M21" i="21"/>
  <c r="N21" i="21"/>
  <c r="J22" i="21"/>
  <c r="M22" i="21"/>
  <c r="N22" i="21"/>
  <c r="J23" i="21"/>
  <c r="M23" i="21"/>
  <c r="N23" i="21"/>
  <c r="M24" i="21"/>
  <c r="N24" i="21"/>
  <c r="M25" i="21"/>
  <c r="N25" i="21"/>
  <c r="J26" i="21"/>
  <c r="M26" i="21"/>
  <c r="N26" i="21"/>
  <c r="M27" i="21"/>
  <c r="N27" i="21"/>
  <c r="J28" i="21"/>
  <c r="M28" i="21"/>
  <c r="N28" i="21"/>
  <c r="J29" i="21"/>
  <c r="M29" i="21"/>
  <c r="N29" i="21"/>
  <c r="M30" i="21"/>
  <c r="N30" i="21"/>
  <c r="J31" i="21"/>
  <c r="M31" i="21"/>
  <c r="N31" i="21"/>
  <c r="M32" i="21"/>
  <c r="N32" i="21"/>
  <c r="J33" i="21"/>
  <c r="M33" i="21"/>
  <c r="N33" i="21"/>
  <c r="M34" i="21"/>
  <c r="N34" i="21"/>
  <c r="J35" i="21"/>
  <c r="M35" i="21"/>
  <c r="N35" i="21"/>
  <c r="J16" i="21"/>
  <c r="N16" i="21"/>
  <c r="M16" i="21"/>
  <c r="I17" i="20"/>
  <c r="J17" i="20"/>
  <c r="M17" i="20"/>
  <c r="N17" i="20"/>
  <c r="I18" i="20"/>
  <c r="J18" i="20"/>
  <c r="M18" i="20"/>
  <c r="N18" i="20"/>
  <c r="M19" i="20"/>
  <c r="N19" i="20"/>
  <c r="M20" i="20"/>
  <c r="N20" i="20"/>
  <c r="M21" i="20"/>
  <c r="N21" i="20"/>
  <c r="I22" i="20"/>
  <c r="J22" i="20"/>
  <c r="M22" i="20"/>
  <c r="N22" i="20"/>
  <c r="I23" i="20"/>
  <c r="J23" i="20"/>
  <c r="M23" i="20"/>
  <c r="N23" i="20"/>
  <c r="M24" i="20"/>
  <c r="N24" i="20"/>
  <c r="M25" i="20"/>
  <c r="N25" i="20"/>
  <c r="M26" i="20"/>
  <c r="N26" i="20"/>
  <c r="I27" i="20"/>
  <c r="J27" i="20"/>
  <c r="M27" i="20"/>
  <c r="N27" i="20"/>
  <c r="M28" i="20"/>
  <c r="N28" i="20"/>
  <c r="M29" i="20"/>
  <c r="N29" i="20"/>
  <c r="M30" i="20"/>
  <c r="N30" i="20"/>
  <c r="M31" i="20"/>
  <c r="N31" i="20"/>
  <c r="M32" i="20"/>
  <c r="N32" i="20"/>
  <c r="M33" i="20"/>
  <c r="N33" i="20"/>
  <c r="M34" i="20"/>
  <c r="N34" i="20"/>
  <c r="M35" i="20"/>
  <c r="N35" i="20"/>
  <c r="I16" i="20"/>
  <c r="J16" i="20"/>
  <c r="N16" i="20"/>
  <c r="M16" i="20"/>
  <c r="I35" i="29"/>
  <c r="J35" i="29"/>
  <c r="I18" i="43"/>
  <c r="J18" i="43"/>
  <c r="I20" i="43"/>
  <c r="J20" i="43"/>
  <c r="I21" i="43"/>
  <c r="J21" i="43"/>
  <c r="I24" i="43"/>
  <c r="J24" i="43"/>
  <c r="I25" i="43"/>
  <c r="J25" i="43"/>
  <c r="I26" i="43"/>
  <c r="J26" i="43"/>
  <c r="I27" i="43"/>
  <c r="J27" i="43"/>
  <c r="I29" i="43"/>
  <c r="J29" i="43"/>
  <c r="I31" i="43"/>
  <c r="J31" i="43"/>
  <c r="I33" i="43"/>
  <c r="J33" i="43"/>
  <c r="I34" i="43"/>
  <c r="J34" i="43"/>
  <c r="I35" i="43"/>
  <c r="J35" i="43"/>
  <c r="I36" i="43"/>
  <c r="J36" i="43"/>
  <c r="I16" i="43"/>
  <c r="J16" i="43"/>
  <c r="D41" i="43"/>
  <c r="I16" i="41"/>
  <c r="J16" i="41"/>
  <c r="I18" i="41"/>
  <c r="J18" i="41"/>
  <c r="I19" i="41"/>
  <c r="J19" i="41"/>
  <c r="I21" i="41"/>
  <c r="J21" i="41"/>
  <c r="I25" i="41"/>
  <c r="J25" i="41"/>
  <c r="I26" i="41"/>
  <c r="J26" i="41"/>
  <c r="I27" i="41"/>
  <c r="J27" i="41"/>
  <c r="I29" i="41"/>
  <c r="J29" i="41"/>
  <c r="I31" i="41"/>
  <c r="J31" i="41"/>
  <c r="I32" i="41"/>
  <c r="J32" i="41"/>
  <c r="I33" i="41"/>
  <c r="J33" i="41"/>
  <c r="I34" i="41"/>
  <c r="J34" i="41"/>
  <c r="I35" i="41"/>
  <c r="J35" i="41"/>
  <c r="D41" i="41"/>
  <c r="I18" i="40"/>
  <c r="J18" i="40"/>
  <c r="I20" i="40"/>
  <c r="J20" i="40"/>
  <c r="I21" i="40"/>
  <c r="J21" i="40"/>
  <c r="I24" i="40"/>
  <c r="J24" i="40"/>
  <c r="I25" i="40"/>
  <c r="J25" i="40"/>
  <c r="I26" i="40"/>
  <c r="J26" i="40"/>
  <c r="I27" i="40"/>
  <c r="J27" i="40"/>
  <c r="I29" i="40"/>
  <c r="J29" i="40"/>
  <c r="N29" i="40"/>
  <c r="I30" i="40"/>
  <c r="J30" i="40"/>
  <c r="N30" i="40"/>
  <c r="I31" i="40"/>
  <c r="J31" i="40"/>
  <c r="N31" i="40"/>
  <c r="I32" i="40"/>
  <c r="J32" i="40"/>
  <c r="N32" i="40"/>
  <c r="I33" i="40"/>
  <c r="J33" i="40"/>
  <c r="N33" i="40"/>
  <c r="I34" i="40"/>
  <c r="J34" i="40"/>
  <c r="N34" i="40"/>
  <c r="I35" i="40"/>
  <c r="J35" i="40"/>
  <c r="N35" i="40"/>
  <c r="I36" i="40"/>
  <c r="J36" i="40"/>
  <c r="N36" i="40"/>
  <c r="I37" i="40"/>
  <c r="J37" i="40"/>
  <c r="N37" i="40"/>
  <c r="M29" i="40"/>
  <c r="M30" i="40"/>
  <c r="M31" i="40"/>
  <c r="M32" i="40"/>
  <c r="M33" i="40"/>
  <c r="M34" i="40"/>
  <c r="M35" i="40"/>
  <c r="M36" i="40"/>
  <c r="M37" i="40"/>
  <c r="I16" i="39"/>
  <c r="J16" i="39"/>
  <c r="I18" i="39"/>
  <c r="J18" i="39"/>
  <c r="I19" i="39"/>
  <c r="J19" i="39"/>
  <c r="I21" i="39"/>
  <c r="J21" i="39"/>
  <c r="I25" i="39"/>
  <c r="J25" i="39"/>
  <c r="I26" i="39"/>
  <c r="J26" i="39"/>
  <c r="I27" i="39"/>
  <c r="J27" i="39"/>
  <c r="I29" i="39"/>
  <c r="J29" i="39"/>
  <c r="I31" i="39"/>
  <c r="J31" i="39"/>
  <c r="I32" i="39"/>
  <c r="J32" i="39"/>
  <c r="I33" i="39"/>
  <c r="J33" i="39"/>
  <c r="I34" i="39"/>
  <c r="J34" i="39"/>
  <c r="I35" i="39"/>
  <c r="J35" i="39"/>
  <c r="D41" i="39"/>
  <c r="J19" i="38"/>
  <c r="J20" i="38"/>
  <c r="I21" i="38"/>
  <c r="J21" i="38"/>
  <c r="J24" i="38"/>
  <c r="J25" i="38"/>
  <c r="I26" i="38"/>
  <c r="J26" i="38"/>
  <c r="J27" i="38"/>
  <c r="J29" i="38"/>
  <c r="J30" i="38"/>
  <c r="I31" i="38"/>
  <c r="J31" i="38"/>
  <c r="J32" i="38"/>
  <c r="J34" i="38"/>
  <c r="I35" i="38"/>
  <c r="J35" i="38"/>
  <c r="J19" i="36"/>
  <c r="J20" i="36"/>
  <c r="J21" i="36"/>
  <c r="J24" i="36"/>
  <c r="J25" i="36"/>
  <c r="J26" i="36"/>
  <c r="J27" i="36"/>
  <c r="J29" i="36"/>
  <c r="J30" i="36"/>
  <c r="J31" i="36"/>
  <c r="J32" i="36"/>
  <c r="J34" i="36"/>
  <c r="I35" i="36"/>
  <c r="J35" i="36"/>
  <c r="I19" i="35"/>
  <c r="I20" i="35"/>
  <c r="I21" i="35"/>
  <c r="I24" i="35"/>
  <c r="I25" i="35"/>
  <c r="I26" i="35"/>
  <c r="I29" i="35"/>
  <c r="I30" i="35"/>
  <c r="I31" i="35"/>
  <c r="I32" i="35"/>
  <c r="I34" i="35"/>
  <c r="I35" i="35"/>
  <c r="J19" i="35"/>
  <c r="J20" i="35"/>
  <c r="J21" i="35"/>
  <c r="J24" i="35"/>
  <c r="J25" i="35"/>
  <c r="J26" i="35"/>
  <c r="J29" i="35"/>
  <c r="J30" i="35"/>
  <c r="J31" i="35"/>
  <c r="J32" i="35"/>
  <c r="J34" i="35"/>
  <c r="J35" i="35"/>
  <c r="I24" i="29"/>
  <c r="I25" i="29"/>
  <c r="I26" i="29"/>
  <c r="I19" i="20"/>
  <c r="J19" i="20"/>
  <c r="I20" i="20"/>
  <c r="J20" i="20"/>
  <c r="I21" i="20"/>
  <c r="J21" i="20"/>
  <c r="I24" i="20"/>
  <c r="J24" i="20"/>
  <c r="I25" i="20"/>
  <c r="J25" i="20"/>
  <c r="I26" i="20"/>
  <c r="J26" i="20"/>
  <c r="I29" i="20"/>
  <c r="J29" i="20"/>
  <c r="I30" i="20"/>
  <c r="J30" i="20"/>
  <c r="I31" i="20"/>
  <c r="J31" i="20"/>
  <c r="I32" i="20"/>
  <c r="J32" i="20"/>
  <c r="I34" i="20"/>
  <c r="J34" i="20"/>
  <c r="I35" i="20"/>
  <c r="J35" i="20"/>
  <c r="I16" i="44"/>
  <c r="J16" i="44"/>
  <c r="I17" i="44"/>
  <c r="J17" i="44"/>
  <c r="I18" i="44"/>
  <c r="J18" i="44"/>
  <c r="I21" i="44"/>
  <c r="J21" i="44"/>
  <c r="I22" i="44"/>
  <c r="J22" i="44"/>
  <c r="I23" i="44"/>
  <c r="J23" i="44"/>
  <c r="I28" i="44"/>
  <c r="J28" i="44"/>
  <c r="I31" i="44"/>
  <c r="J31" i="44"/>
  <c r="I33" i="44"/>
  <c r="J33" i="44"/>
  <c r="I35" i="44"/>
  <c r="J35" i="44"/>
  <c r="D45" i="44"/>
  <c r="D53" i="44"/>
  <c r="O52" i="44"/>
  <c r="I26" i="44"/>
  <c r="J26" i="44"/>
  <c r="J27" i="44"/>
  <c r="D41" i="44"/>
  <c r="D39" i="44"/>
  <c r="N35" i="44"/>
  <c r="M35" i="44"/>
  <c r="N34" i="44"/>
  <c r="M34" i="44"/>
  <c r="N33" i="44"/>
  <c r="M33" i="44"/>
  <c r="N31" i="44"/>
  <c r="M31" i="44"/>
  <c r="N28" i="44"/>
  <c r="M28" i="44"/>
  <c r="N27" i="44"/>
  <c r="M27" i="44"/>
  <c r="N26" i="44"/>
  <c r="M26" i="44"/>
  <c r="N23" i="44"/>
  <c r="M23" i="44"/>
  <c r="N22" i="44"/>
  <c r="M22" i="44"/>
  <c r="N21" i="44"/>
  <c r="M21" i="44"/>
  <c r="N18" i="44"/>
  <c r="M18" i="44"/>
  <c r="Z17" i="44"/>
  <c r="N17" i="44"/>
  <c r="M17" i="44"/>
  <c r="N16" i="44"/>
  <c r="M16" i="44"/>
  <c r="O52" i="43"/>
  <c r="D39" i="43"/>
  <c r="Z17" i="43"/>
  <c r="N16" i="43"/>
  <c r="M16" i="43"/>
  <c r="D45" i="42"/>
  <c r="D53" i="42"/>
  <c r="O52" i="42"/>
  <c r="D39" i="42"/>
  <c r="N35" i="42"/>
  <c r="M35" i="42"/>
  <c r="N34" i="42"/>
  <c r="M34" i="42"/>
  <c r="N33" i="42"/>
  <c r="M33" i="42"/>
  <c r="N31" i="42"/>
  <c r="M31" i="42"/>
  <c r="N28" i="42"/>
  <c r="M28" i="42"/>
  <c r="N27" i="42"/>
  <c r="M27" i="42"/>
  <c r="N26" i="42"/>
  <c r="M26" i="42"/>
  <c r="N23" i="42"/>
  <c r="M23" i="42"/>
  <c r="N22" i="42"/>
  <c r="M22" i="42"/>
  <c r="N21" i="42"/>
  <c r="M21" i="42"/>
  <c r="N18" i="42"/>
  <c r="M18" i="42"/>
  <c r="Z17" i="42"/>
  <c r="N17" i="42"/>
  <c r="M17" i="42"/>
  <c r="N16" i="42"/>
  <c r="M16" i="42"/>
  <c r="O52" i="41"/>
  <c r="D39" i="41"/>
  <c r="Z17" i="41"/>
  <c r="N16" i="41"/>
  <c r="M16" i="41"/>
  <c r="I16" i="40"/>
  <c r="J16" i="40"/>
  <c r="O52" i="40"/>
  <c r="D41" i="40"/>
  <c r="D39" i="40"/>
  <c r="Z17" i="40"/>
  <c r="M16" i="40"/>
  <c r="O52" i="39"/>
  <c r="D39" i="39"/>
  <c r="Z17" i="39"/>
  <c r="N16" i="39"/>
  <c r="M16" i="39"/>
  <c r="O52" i="38"/>
  <c r="D41" i="38"/>
  <c r="D39" i="38"/>
  <c r="Z17" i="38"/>
  <c r="I16" i="37"/>
  <c r="J16" i="37"/>
  <c r="I17" i="37"/>
  <c r="J17" i="37"/>
  <c r="I18" i="37"/>
  <c r="J18" i="37"/>
  <c r="I21" i="37"/>
  <c r="J21" i="37"/>
  <c r="I22" i="37"/>
  <c r="J22" i="37"/>
  <c r="I23" i="37"/>
  <c r="J23" i="37"/>
  <c r="I28" i="37"/>
  <c r="J28" i="37"/>
  <c r="I31" i="37"/>
  <c r="J31" i="37"/>
  <c r="I33" i="37"/>
  <c r="J33" i="37"/>
  <c r="I35" i="37"/>
  <c r="J35" i="37"/>
  <c r="D45" i="37"/>
  <c r="D53" i="37"/>
  <c r="O52" i="37"/>
  <c r="I26" i="37"/>
  <c r="J26" i="37"/>
  <c r="J27" i="37"/>
  <c r="D41" i="37"/>
  <c r="D39" i="37"/>
  <c r="N35" i="37"/>
  <c r="M35" i="37"/>
  <c r="N34" i="37"/>
  <c r="M34" i="37"/>
  <c r="N33" i="37"/>
  <c r="M33" i="37"/>
  <c r="N31" i="37"/>
  <c r="M31" i="37"/>
  <c r="N28" i="37"/>
  <c r="M28" i="37"/>
  <c r="N27" i="37"/>
  <c r="M27" i="37"/>
  <c r="N26" i="37"/>
  <c r="M26" i="37"/>
  <c r="N23" i="37"/>
  <c r="M23" i="37"/>
  <c r="N22" i="37"/>
  <c r="M22" i="37"/>
  <c r="N21" i="37"/>
  <c r="M21" i="37"/>
  <c r="N18" i="37"/>
  <c r="M18" i="37"/>
  <c r="Z17" i="37"/>
  <c r="N17" i="37"/>
  <c r="M17" i="37"/>
  <c r="N16" i="37"/>
  <c r="M16" i="37"/>
  <c r="I21" i="36"/>
  <c r="I31" i="36"/>
  <c r="O52" i="36"/>
  <c r="I26" i="36"/>
  <c r="D41" i="36"/>
  <c r="D39" i="36"/>
  <c r="Z17" i="36"/>
  <c r="O52" i="35"/>
  <c r="D41" i="35"/>
  <c r="D39" i="35"/>
  <c r="Z17" i="35"/>
  <c r="I16" i="24"/>
  <c r="J16" i="24"/>
  <c r="I21" i="24"/>
  <c r="J21" i="24"/>
  <c r="I31" i="24"/>
  <c r="J31" i="24"/>
  <c r="I35" i="24"/>
  <c r="J35" i="24"/>
  <c r="I21" i="23"/>
  <c r="J21" i="23"/>
  <c r="I31" i="23"/>
  <c r="J31" i="23"/>
  <c r="I35" i="23"/>
  <c r="J35" i="23"/>
  <c r="J15" i="21"/>
  <c r="I21" i="26"/>
  <c r="J21" i="26"/>
  <c r="I29" i="26"/>
  <c r="J29" i="26"/>
  <c r="I31" i="26"/>
  <c r="J31" i="26"/>
  <c r="I35" i="26"/>
  <c r="J35" i="26"/>
  <c r="I15" i="29"/>
  <c r="J15" i="29"/>
  <c r="I21" i="29"/>
  <c r="J21" i="29"/>
  <c r="I29" i="29"/>
  <c r="J29" i="29"/>
  <c r="I31" i="29"/>
  <c r="J31" i="29"/>
  <c r="J34" i="29"/>
  <c r="I16" i="27"/>
  <c r="J16" i="27"/>
  <c r="I21" i="27"/>
  <c r="J21" i="27"/>
  <c r="I31" i="27"/>
  <c r="J31" i="27"/>
  <c r="I35" i="31"/>
  <c r="J35" i="31"/>
  <c r="I16" i="31"/>
  <c r="J16" i="31"/>
  <c r="I21" i="31"/>
  <c r="J21" i="31"/>
  <c r="I34" i="31"/>
  <c r="J34" i="31"/>
  <c r="I31" i="31"/>
  <c r="J31" i="31"/>
  <c r="O52" i="32"/>
  <c r="D41" i="32"/>
  <c r="D39" i="32"/>
  <c r="Z17" i="32"/>
  <c r="O52" i="31"/>
  <c r="I26" i="31"/>
  <c r="J26" i="31"/>
  <c r="I27" i="31"/>
  <c r="J27" i="31"/>
  <c r="D41" i="31"/>
  <c r="D39" i="31"/>
  <c r="Z17" i="31"/>
  <c r="N16" i="31"/>
  <c r="M16" i="31"/>
  <c r="O52" i="29"/>
  <c r="J26" i="29"/>
  <c r="D41" i="29"/>
  <c r="D39" i="29"/>
  <c r="Z17" i="29"/>
  <c r="N15" i="29"/>
  <c r="M15" i="29"/>
  <c r="O52" i="27"/>
  <c r="I26" i="27"/>
  <c r="J26" i="27"/>
  <c r="I27" i="27"/>
  <c r="J27" i="27"/>
  <c r="D41" i="27"/>
  <c r="D39" i="27"/>
  <c r="Z17" i="27"/>
  <c r="N16" i="27"/>
  <c r="M16" i="27"/>
  <c r="O52" i="26"/>
  <c r="I26" i="26"/>
  <c r="J26" i="26"/>
  <c r="D41" i="26"/>
  <c r="D39" i="26"/>
  <c r="Z17" i="26"/>
  <c r="O52" i="24"/>
  <c r="I26" i="24"/>
  <c r="J26" i="24"/>
  <c r="I27" i="24"/>
  <c r="J27" i="24"/>
  <c r="D41" i="24"/>
  <c r="D39" i="24"/>
  <c r="Z17" i="24"/>
  <c r="N16" i="24"/>
  <c r="M16" i="24"/>
  <c r="O52" i="23"/>
  <c r="I26" i="23"/>
  <c r="J26" i="23"/>
  <c r="J27" i="23"/>
  <c r="D41" i="23"/>
  <c r="D39" i="23"/>
  <c r="Z17" i="23"/>
  <c r="O52" i="22"/>
  <c r="D41" i="22"/>
  <c r="D39" i="22"/>
  <c r="Z17" i="22"/>
  <c r="O52" i="21"/>
  <c r="D41" i="21"/>
  <c r="D39" i="21"/>
  <c r="Z17" i="21"/>
  <c r="N15" i="21"/>
  <c r="M15" i="21"/>
  <c r="O52" i="20"/>
  <c r="D39" i="20"/>
  <c r="Z17" i="20"/>
</calcChain>
</file>

<file path=xl/sharedStrings.xml><?xml version="1.0" encoding="utf-8"?>
<sst xmlns="http://schemas.openxmlformats.org/spreadsheetml/2006/main" count="1439" uniqueCount="110">
  <si>
    <t>SUBJECT</t>
  </si>
  <si>
    <t>HOMEWORK</t>
  </si>
  <si>
    <t>TEST</t>
  </si>
  <si>
    <t>PROJECT</t>
  </si>
  <si>
    <t>EXAM</t>
  </si>
  <si>
    <t>TOTAL</t>
  </si>
  <si>
    <t>LOWEST SCORE</t>
  </si>
  <si>
    <t>HIGHEST SCORE</t>
  </si>
  <si>
    <t>AGRICULTURAL SCIENCE</t>
  </si>
  <si>
    <t>REMARK</t>
  </si>
  <si>
    <t>TEACHER'S SIGN.</t>
  </si>
  <si>
    <t>BIOLOGY</t>
  </si>
  <si>
    <t>CIVIC EDUCATION</t>
  </si>
  <si>
    <t>CHEMISTRY</t>
  </si>
  <si>
    <t>CHRISTIAN RELIGIOUS STUDIES</t>
  </si>
  <si>
    <t>COMMERCE</t>
  </si>
  <si>
    <t>COMPUTER STUDIES</t>
  </si>
  <si>
    <t>ECONOMICS</t>
  </si>
  <si>
    <t>ENGLISH LANGUAGE</t>
  </si>
  <si>
    <t>FINANACIAL ACCOUNTING</t>
  </si>
  <si>
    <t>FOOD AND NUTRITION</t>
  </si>
  <si>
    <t>FRENCH LANGUAGE</t>
  </si>
  <si>
    <t>FURTHER MATHEMATICS</t>
  </si>
  <si>
    <t>GENERAL MATHEMATICS</t>
  </si>
  <si>
    <t>GEOGRAPHY</t>
  </si>
  <si>
    <t>GOVERNMENT</t>
  </si>
  <si>
    <t>HOME MANAGEMENT</t>
  </si>
  <si>
    <t>LITERATURE-IN-ENGLISH</t>
  </si>
  <si>
    <t>PHYSICS</t>
  </si>
  <si>
    <t>TECHNICAL DRAWING</t>
  </si>
  <si>
    <t>TRADE</t>
  </si>
  <si>
    <t>VISUAL ART</t>
  </si>
  <si>
    <t>YORUBA LANGUAGE</t>
  </si>
  <si>
    <t>PERSONAL SKILLS</t>
  </si>
  <si>
    <t>PUNCTUALITY</t>
  </si>
  <si>
    <t>CONCENTRATION IN CLASS</t>
  </si>
  <si>
    <t>ORGANISATIONAL SKILL</t>
  </si>
  <si>
    <t>HANDWRITING</t>
  </si>
  <si>
    <t>FLUENCY</t>
  </si>
  <si>
    <t>GAMES/SPORTS</t>
  </si>
  <si>
    <t>NEATNESS</t>
  </si>
  <si>
    <t>TEAMWORK</t>
  </si>
  <si>
    <t>LEADERSHIP</t>
  </si>
  <si>
    <t>INTERPERSONAL SKILLS</t>
  </si>
  <si>
    <t>INIATIATIVE</t>
  </si>
  <si>
    <t>PRINCIPAL'S REMARKS:</t>
  </si>
  <si>
    <t>SIGNATURE:</t>
  </si>
  <si>
    <t>DATE:</t>
  </si>
  <si>
    <t>PERCENTAGE:</t>
  </si>
  <si>
    <t>GPA:</t>
  </si>
  <si>
    <t>POSITION:</t>
  </si>
  <si>
    <t>GRADE</t>
  </si>
  <si>
    <t>NEXT TERM BEGINS</t>
  </si>
  <si>
    <t>SCORE</t>
  </si>
  <si>
    <t>NUMBER OF TIMES PRESENT:</t>
  </si>
  <si>
    <t>CONTRIBUTION IN CLASS</t>
  </si>
  <si>
    <t>1ST TERM</t>
  </si>
  <si>
    <t>CLASSWORL</t>
  </si>
  <si>
    <t>2ND TERM</t>
  </si>
  <si>
    <t>THIRD TERM 2020/21 SESSION</t>
  </si>
  <si>
    <t>STUDENT CUMULATIVE REPORT</t>
  </si>
  <si>
    <t>THIRD TERM</t>
  </si>
  <si>
    <t>ANNUAL AVERAGE</t>
  </si>
  <si>
    <t>OVERALL TOTAL:</t>
  </si>
  <si>
    <t xml:space="preserve">       NUMBER OF TIMES SCHOOL OPENED:</t>
  </si>
  <si>
    <t xml:space="preserve">        NAME: BABALOLA TOLUWANIMI</t>
  </si>
  <si>
    <t>ADMISSION NO: 1701</t>
  </si>
  <si>
    <t>ADMISSION NO: 1702</t>
  </si>
  <si>
    <t xml:space="preserve">        NAME: ATOLOYE DEBORAH</t>
  </si>
  <si>
    <t>ADMISSION NO: 1703</t>
  </si>
  <si>
    <t xml:space="preserve">        NAME: OLULEYE PRAISE</t>
  </si>
  <si>
    <t xml:space="preserve">        NAME: AKINDELE REBECCA</t>
  </si>
  <si>
    <t>ADMISSION NO: 1704</t>
  </si>
  <si>
    <t>ADMISSION NO: 1705</t>
  </si>
  <si>
    <t xml:space="preserve">        NAME: OJO FAITH</t>
  </si>
  <si>
    <t>ADMISSION NO: 1710</t>
  </si>
  <si>
    <t xml:space="preserve">        NAME: SHOTUNDE TIMILEYIN</t>
  </si>
  <si>
    <t>ADMISSION NO: 1711</t>
  </si>
  <si>
    <t xml:space="preserve">        NAME: WILLIAMS PRECIOUS</t>
  </si>
  <si>
    <t>ADMISSION NO: 1721</t>
  </si>
  <si>
    <t xml:space="preserve">        NAME: POPOOLA NIFEMI</t>
  </si>
  <si>
    <t xml:space="preserve">        NAME: AIKABELI DANIEL</t>
  </si>
  <si>
    <t>ADMISSION NO: 2029</t>
  </si>
  <si>
    <t>ADMISSION NO: 2031</t>
  </si>
  <si>
    <t xml:space="preserve">        NAME: ADENIJI FIYINFOLUWA</t>
  </si>
  <si>
    <t>ADMISSION NO: 2042</t>
  </si>
  <si>
    <t xml:space="preserve">        NAME: AGBOOLA DAVID</t>
  </si>
  <si>
    <t>NUMBER IN CLASS: 19</t>
  </si>
  <si>
    <t xml:space="preserve">         CLASS: SSS ONE</t>
  </si>
  <si>
    <t xml:space="preserve">         CLASS: SSS TWO</t>
  </si>
  <si>
    <t>ADMISSION NO: 2107</t>
  </si>
  <si>
    <t xml:space="preserve">        NAME: OLUWOLE OLUWADARASIMI</t>
  </si>
  <si>
    <t>ADMISSION NO: 2125</t>
  </si>
  <si>
    <t xml:space="preserve">        NAME: ATANDA FARUQ</t>
  </si>
  <si>
    <t>ADMISSION NO: 2138</t>
  </si>
  <si>
    <t xml:space="preserve">        NAME: RHODES FUNMILAYO</t>
  </si>
  <si>
    <t>ADMISSION NO: 2139</t>
  </si>
  <si>
    <t xml:space="preserve">        NAME: ADEBAYO DANIEL</t>
  </si>
  <si>
    <t>ADMISSION NO: 20144</t>
  </si>
  <si>
    <t xml:space="preserve">        NAME: SALAU EMMAUEL</t>
  </si>
  <si>
    <t xml:space="preserve">        NAME: AKINDELE FAITHFULNESS</t>
  </si>
  <si>
    <t>ADMISSION NO: 2166</t>
  </si>
  <si>
    <t>ADMISSION NO: 2167</t>
  </si>
  <si>
    <t xml:space="preserve">        NAME: ALEBIOSU TINUOLUWA</t>
  </si>
  <si>
    <t xml:space="preserve">        NAME: FAKOREDE DORCAS</t>
  </si>
  <si>
    <t>ADMISSION NO: 2168</t>
  </si>
  <si>
    <t>THIRD TERM 2021/22 SESSION</t>
  </si>
  <si>
    <t>29/07/2022</t>
  </si>
  <si>
    <t>19TH SEPTEMBER,2022.</t>
  </si>
  <si>
    <t>49.1.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</si>
</sst>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2" fillId="0" borderId="1" xfId="0" applyFont="1" applyBorder="1"/>
    <xf numFmtId="0" fontId="0" fillId="0" borderId="3" xfId="0" applyBorder="1"/>
    <xf numFmtId="0" fontId="0" fillId="0" borderId="2" xfId="0" applyBorder="1"/>
    <xf numFmtId="0" fontId="1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5" xfId="0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0" fillId="0" borderId="11" xfId="0" applyBorder="1"/>
    <xf numFmtId="0" fontId="3" fillId="0" borderId="1" xfId="0" applyFont="1" applyBorder="1"/>
    <xf numFmtId="0" fontId="1" fillId="0" borderId="13" xfId="0" applyFont="1" applyBorder="1" applyProtection="1">
      <protection locked="0"/>
    </xf>
    <xf numFmtId="164" fontId="8" fillId="0" borderId="13" xfId="0" applyNumberFormat="1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0" fillId="0" borderId="13" xfId="0" applyBorder="1"/>
    <xf numFmtId="0" fontId="4" fillId="0" borderId="13" xfId="0" applyFont="1" applyBorder="1"/>
    <xf numFmtId="0" fontId="6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textRotation="90"/>
    </xf>
    <xf numFmtId="0" fontId="1" fillId="0" borderId="14" xfId="0" applyFont="1" applyBorder="1" applyAlignment="1">
      <alignment textRotation="90"/>
    </xf>
    <xf numFmtId="0" fontId="2" fillId="0" borderId="13" xfId="0" applyFont="1" applyBorder="1" applyAlignment="1">
      <alignment vertical="center" textRotation="90"/>
    </xf>
    <xf numFmtId="0" fontId="2" fillId="0" borderId="13" xfId="0" applyFont="1" applyBorder="1" applyAlignment="1">
      <alignment horizontal="center" vertical="center" textRotation="90"/>
    </xf>
    <xf numFmtId="0" fontId="2" fillId="0" borderId="13" xfId="0" applyFont="1" applyFill="1" applyBorder="1" applyAlignment="1">
      <alignment horizontal="center" vertical="center" textRotation="90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4" xfId="0" applyFont="1" applyBorder="1"/>
    <xf numFmtId="0" fontId="2" fillId="0" borderId="15" xfId="0" applyFont="1" applyBorder="1" applyAlignment="1">
      <alignment textRotation="90"/>
    </xf>
    <xf numFmtId="0" fontId="2" fillId="0" borderId="15" xfId="0" applyFont="1" applyBorder="1" applyAlignment="1">
      <alignment horizontal="center" textRotation="90"/>
    </xf>
    <xf numFmtId="0" fontId="2" fillId="0" borderId="15" xfId="0" applyFont="1" applyFill="1" applyBorder="1" applyAlignment="1">
      <alignment horizontal="center" textRotation="90"/>
    </xf>
    <xf numFmtId="164" fontId="0" fillId="0" borderId="13" xfId="0" applyNumberFormat="1" applyBorder="1"/>
    <xf numFmtId="0" fontId="12" fillId="0" borderId="3" xfId="0" applyFont="1" applyBorder="1"/>
    <xf numFmtId="0" fontId="1" fillId="0" borderId="10" xfId="0" applyFont="1" applyFill="1" applyBorder="1"/>
    <xf numFmtId="0" fontId="5" fillId="0" borderId="1" xfId="0" applyFont="1" applyBorder="1"/>
    <xf numFmtId="0" fontId="1" fillId="0" borderId="1" xfId="0" applyFont="1" applyBorder="1"/>
    <xf numFmtId="164" fontId="13" fillId="0" borderId="13" xfId="0" applyNumberFormat="1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1" xfId="0" applyFont="1" applyBorder="1" applyAlignment="1">
      <alignment wrapText="1"/>
    </xf>
    <xf numFmtId="0" fontId="1" fillId="2" borderId="1" xfId="0" applyFont="1" applyFill="1" applyBorder="1"/>
    <xf numFmtId="0" fontId="5" fillId="0" borderId="1" xfId="0" applyFont="1" applyBorder="1"/>
    <xf numFmtId="0" fontId="1" fillId="0" borderId="1" xfId="0" applyFont="1" applyBorder="1"/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7" fillId="0" borderId="4" xfId="0" applyFont="1" applyBorder="1" applyAlignment="1"/>
    <xf numFmtId="0" fontId="7" fillId="0" borderId="1" xfId="0" applyFont="1" applyBorder="1" applyAlignment="1"/>
    <xf numFmtId="0" fontId="1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1" xfId="0" applyFont="1" applyBorder="1"/>
    <xf numFmtId="0" fontId="1" fillId="0" borderId="11" xfId="0" applyFont="1" applyBorder="1" applyAlignment="1">
      <alignment horizontal="left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1" xfId="0" applyFont="1" applyBorder="1" applyAlignment="1"/>
    <xf numFmtId="0" fontId="1" fillId="0" borderId="1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125960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3060AA29-B5AD-704B-8606-827113C879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14</xdr:col>
      <xdr:colOff>142470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F9A17CA2-42CE-2D44-8FCD-644BD9C5DF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246610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37219087-4381-4B40-98E8-50B026D2139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230100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595F8046-8284-184C-9D90-3A1D695438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9</xdr:col>
      <xdr:colOff>245836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9D810C3E-D720-1F43-B751-5888D1CD87C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9</xdr:col>
      <xdr:colOff>16740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17003227-2BB4-CB48-A8F3-841D960A64B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104370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A50BEC66-2637-CE41-B676-A2345B7DB7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10</xdr:col>
      <xdr:colOff>82780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69A4B09D-45E2-DF4E-B877-27B41C2168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10</xdr:col>
      <xdr:colOff>226290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C93A7827-9070-9C4D-BF45-686FA9F574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238990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ABC96113-0311-D047-BCB1-8D8896F4F24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586255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277090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A34714EA-0E2D-B844-8D84-C954CF4D87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200890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DBDAFFCC-CAF5-514E-BBF9-7F53532940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269470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E9324002-6E15-554F-B3AB-AEE56A2DDAD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147550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40F867B2-412B-0346-A3F7-5C3471802A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238990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B38DED3F-EFE6-7F46-AB3B-812CD21341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1</xdr:row>
      <xdr:rowOff>91440</xdr:rowOff>
    </xdr:from>
    <xdr:to>
      <xdr:col>15</xdr:col>
      <xdr:colOff>429490</xdr:colOff>
      <xdr:row>7</xdr:row>
      <xdr:rowOff>74863</xdr:rowOff>
    </xdr:to>
    <xdr:pic>
      <xdr:nvPicPr>
        <xdr:cNvPr id="3" name="Picture 1" descr="C:\Users\GOLDtouch\Desktop\temp\gracemark heading.tif">
          <a:extLst>
            <a:ext uri="{FF2B5EF4-FFF2-40B4-BE49-F238E27FC236}">
              <a16:creationId xmlns:a16="http://schemas.microsoft.com/office/drawing/2014/main" id="{AEE4C3EB-C498-8049-863E-7B0E24F1B3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3900" y="91440"/>
          <a:ext cx="678457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11</xdr:col>
      <xdr:colOff>238990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CF2BB8BE-C55A-AB45-936C-02CB0DC8EE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269470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F200B74F-A72B-4340-AD68-B4A8835E4A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13</xdr:col>
      <xdr:colOff>10390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9B3A5836-841E-064B-9A0E-2501F07727E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1</xdr:row>
      <xdr:rowOff>15240</xdr:rowOff>
    </xdr:from>
    <xdr:to>
      <xdr:col>12</xdr:col>
      <xdr:colOff>269470</xdr:colOff>
      <xdr:row>6</xdr:row>
      <xdr:rowOff>189163</xdr:rowOff>
    </xdr:to>
    <xdr:pic>
      <xdr:nvPicPr>
        <xdr:cNvPr id="2" name="Picture 1" descr="C:\Users\GOLDtouch\Desktop\temp\gracemark heading.tif">
          <a:extLst>
            <a:ext uri="{FF2B5EF4-FFF2-40B4-BE49-F238E27FC236}">
              <a16:creationId xmlns:a16="http://schemas.microsoft.com/office/drawing/2014/main" id="{30B6E40C-2FB5-CC47-B72B-CDADF58212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3400" y="15240"/>
          <a:ext cx="6197830" cy="11264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19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 /><Relationship Id="rId1" Type="http://schemas.openxmlformats.org/officeDocument/2006/relationships/printerSettings" Target="../printerSettings/printerSettings2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91932-5BDE-2347-BD75-D7A10B7D8B74}">
  <dimension ref="A1:Z55"/>
  <sheetViews>
    <sheetView topLeftCell="A36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83984375" customWidth="1"/>
    <col min="5" max="5" width="5.6484375" customWidth="1"/>
    <col min="6" max="6" width="4.83984375" customWidth="1"/>
    <col min="7" max="7" width="4.5703125" customWidth="1"/>
    <col min="8" max="8" width="5.51171875" customWidth="1"/>
    <col min="9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65</v>
      </c>
      <c r="B10" s="66"/>
      <c r="C10" s="66"/>
      <c r="D10" s="66"/>
      <c r="E10" s="66"/>
      <c r="F10" s="66"/>
      <c r="G10" s="66"/>
      <c r="H10" s="66"/>
      <c r="I10" s="66"/>
      <c r="J10" s="63" t="s">
        <v>66</v>
      </c>
      <c r="K10" s="63"/>
      <c r="L10" s="63"/>
      <c r="M10" s="63"/>
      <c r="N10" s="63"/>
      <c r="O10" s="63"/>
    </row>
    <row r="11" spans="1:15" ht="15.75" thickBot="1" x14ac:dyDescent="0.25">
      <c r="A11" s="67" t="s">
        <v>88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48"/>
      <c r="E15" s="48"/>
      <c r="F15" s="48"/>
      <c r="G15" s="48"/>
      <c r="H15" s="23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43" t="s">
        <v>11</v>
      </c>
      <c r="B16" s="22">
        <v>70</v>
      </c>
      <c r="C16" s="22">
        <v>67.5</v>
      </c>
      <c r="D16" s="52">
        <v>7.2</v>
      </c>
      <c r="E16" s="52">
        <v>4.6500000000000004</v>
      </c>
      <c r="F16" s="53">
        <v>7</v>
      </c>
      <c r="G16" s="52">
        <v>5</v>
      </c>
      <c r="H16" s="48">
        <v>47</v>
      </c>
      <c r="I16" s="39">
        <f t="shared" ref="I16:I37" si="0">SUM(D16:H16)</f>
        <v>70.849999999999994</v>
      </c>
      <c r="J16" s="39">
        <f t="shared" ref="J16:J37" si="1">SUM(B16,C16,I16)/3</f>
        <v>69.45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B3</v>
      </c>
      <c r="N16" s="25" t="str">
        <f>IF(J16&gt;=75,"EXCELLENT",IF(J16&gt;=70,"VERY GOOD",IF(J16&gt;=65,"GOOD",IF(J16&gt;=50,"CREDIT",IF(J16&gt;=40,"PASS","FAIL")))))</f>
        <v>GOOD</v>
      </c>
      <c r="O16" s="2"/>
    </row>
    <row r="17" spans="1:26" ht="15.75" thickBot="1" x14ac:dyDescent="0.25">
      <c r="A17" s="43" t="s">
        <v>12</v>
      </c>
      <c r="B17" s="22">
        <v>62.2</v>
      </c>
      <c r="C17" s="22">
        <v>86</v>
      </c>
      <c r="D17" s="52">
        <v>8</v>
      </c>
      <c r="E17" s="52">
        <v>4.5</v>
      </c>
      <c r="F17" s="53">
        <v>9</v>
      </c>
      <c r="G17" s="52">
        <v>5</v>
      </c>
      <c r="H17" s="23">
        <v>60</v>
      </c>
      <c r="I17" s="39">
        <f>SUM(D17:H17)</f>
        <v>86.5</v>
      </c>
      <c r="J17" s="39">
        <f>SUM(B17,C17,I17)/3</f>
        <v>78.233333333333334</v>
      </c>
      <c r="K17" s="39">
        <v>48.3</v>
      </c>
      <c r="L17" s="2">
        <v>88.3</v>
      </c>
      <c r="M17" s="24" t="str">
        <f t="shared" ref="M17:M35" si="2">IF(J17&gt;=75,"A1",IF(J17&gt;=70,"B2",IF(J17&gt;=65,"B3",IF(J17&gt;=60,"C4",IF(J17&gt;=55,"C5",IF(J17&gt;=50,"C6",IF(J17&gt;=45,"D7",IF(J17&gt;=40,"E8","F9"))))))))</f>
        <v>A1</v>
      </c>
      <c r="N17" s="25" t="str">
        <f t="shared" ref="N17:N35" si="3"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43" t="s">
        <v>13</v>
      </c>
      <c r="B18" s="22">
        <v>48.3</v>
      </c>
      <c r="C18" s="22">
        <v>57.2</v>
      </c>
      <c r="D18" s="52">
        <v>9</v>
      </c>
      <c r="E18" s="52">
        <v>4.5999999999999996</v>
      </c>
      <c r="F18" s="53">
        <v>7.3333333329999997</v>
      </c>
      <c r="G18" s="52">
        <v>4</v>
      </c>
      <c r="H18" s="23">
        <v>42</v>
      </c>
      <c r="I18" s="39">
        <f>SUM(D18:H18)</f>
        <v>66.933333333000007</v>
      </c>
      <c r="J18" s="39">
        <f>SUM(B18,C18,I18)/3</f>
        <v>57.477777777666667</v>
      </c>
      <c r="K18" s="39">
        <v>37.700000000000003</v>
      </c>
      <c r="L18" s="2">
        <v>82.4</v>
      </c>
      <c r="M18" s="24" t="str">
        <f t="shared" si="2"/>
        <v>C5</v>
      </c>
      <c r="N18" s="25" t="str">
        <f t="shared" si="3"/>
        <v>CREDIT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>
        <f>SUM(D19:H19)</f>
        <v>0</v>
      </c>
      <c r="J19" s="39">
        <f>SUM(B19,C19,I19)/3</f>
        <v>0</v>
      </c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>
        <f>SUM(D20:H20)</f>
        <v>0</v>
      </c>
      <c r="J20" s="39">
        <f>SUM(B20,C20,I20)/3</f>
        <v>0</v>
      </c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56.5</v>
      </c>
      <c r="C22" s="22">
        <v>58.6</v>
      </c>
      <c r="D22" s="52">
        <v>9.4</v>
      </c>
      <c r="E22" s="52">
        <v>5</v>
      </c>
      <c r="F22" s="53">
        <v>6.8888888890000004</v>
      </c>
      <c r="G22" s="52">
        <v>5</v>
      </c>
      <c r="H22" s="48">
        <v>40.5</v>
      </c>
      <c r="I22" s="39">
        <f>SUM(D22:H22)</f>
        <v>66.788888888999992</v>
      </c>
      <c r="J22" s="39">
        <f>SUM(B22,C22,I22)/3</f>
        <v>60.62962962966666</v>
      </c>
      <c r="K22" s="39">
        <v>30.3</v>
      </c>
      <c r="L22" s="2">
        <v>69.2</v>
      </c>
      <c r="M22" s="24" t="str">
        <f t="shared" si="2"/>
        <v>C4</v>
      </c>
      <c r="N22" s="25" t="str">
        <f t="shared" si="3"/>
        <v>CREDIT</v>
      </c>
      <c r="O22" s="2"/>
    </row>
    <row r="23" spans="1:26" ht="15.75" thickBot="1" x14ac:dyDescent="0.25">
      <c r="A23" s="43" t="s">
        <v>18</v>
      </c>
      <c r="B23" s="22">
        <v>55.2</v>
      </c>
      <c r="C23" s="22">
        <v>50.3</v>
      </c>
      <c r="D23" s="52">
        <v>8</v>
      </c>
      <c r="E23" s="52">
        <v>3</v>
      </c>
      <c r="F23" s="53">
        <v>8</v>
      </c>
      <c r="G23" s="52">
        <v>5</v>
      </c>
      <c r="H23" s="23">
        <v>33</v>
      </c>
      <c r="I23" s="39">
        <f>SUM(D23:H23)</f>
        <v>57</v>
      </c>
      <c r="J23" s="39">
        <f>SUM(B23,C23,I23)/3</f>
        <v>54.166666666666664</v>
      </c>
      <c r="K23" s="39">
        <v>31.3</v>
      </c>
      <c r="L23" s="2">
        <v>58.4</v>
      </c>
      <c r="M23" s="24" t="str">
        <f t="shared" si="2"/>
        <v>C6</v>
      </c>
      <c r="N23" s="25" t="str">
        <f t="shared" si="3"/>
        <v>CREDIT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>
        <f>SUM(D24:H24)</f>
        <v>0</v>
      </c>
      <c r="J24" s="39">
        <f>SUM(B24,C24,I24)/3</f>
        <v>0</v>
      </c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thickBot="1" x14ac:dyDescent="0.25">
      <c r="A27" s="43" t="s">
        <v>22</v>
      </c>
      <c r="B27" s="22"/>
      <c r="C27" s="22">
        <v>37</v>
      </c>
      <c r="D27" s="52">
        <v>7</v>
      </c>
      <c r="E27" s="52">
        <v>3.5</v>
      </c>
      <c r="F27" s="53">
        <v>5</v>
      </c>
      <c r="G27" s="52">
        <v>5</v>
      </c>
      <c r="H27" s="23">
        <v>34</v>
      </c>
      <c r="I27" s="39">
        <f>SUM(D27:H27)</f>
        <v>54.5</v>
      </c>
      <c r="J27" s="39">
        <f>SUM(B27,C27,I27)/2</f>
        <v>45.75</v>
      </c>
      <c r="K27" s="39">
        <v>41.8</v>
      </c>
      <c r="L27" s="2">
        <v>59.9</v>
      </c>
      <c r="M27" s="24" t="str">
        <f t="shared" si="2"/>
        <v>D7</v>
      </c>
      <c r="N27" s="25" t="str">
        <f t="shared" si="3"/>
        <v>PASS</v>
      </c>
      <c r="O27" s="2"/>
    </row>
    <row r="28" spans="1:26" ht="15.75" thickBot="1" x14ac:dyDescent="0.25">
      <c r="A28" s="43" t="s">
        <v>23</v>
      </c>
      <c r="B28" s="22">
        <v>39.1</v>
      </c>
      <c r="C28" s="22">
        <v>40</v>
      </c>
      <c r="D28" s="52">
        <v>9.2857142859999993</v>
      </c>
      <c r="E28" s="52">
        <v>4</v>
      </c>
      <c r="F28" s="53">
        <v>6.5</v>
      </c>
      <c r="G28" s="52">
        <v>5</v>
      </c>
      <c r="H28" s="23">
        <v>24.7</v>
      </c>
      <c r="I28" s="39">
        <f>SUM(D28:H28)</f>
        <v>49.485714286000004</v>
      </c>
      <c r="J28" s="39">
        <f>SUM(B28,C28,I28)/3</f>
        <v>42.861904761999995</v>
      </c>
      <c r="K28" s="39"/>
      <c r="L28" s="2"/>
      <c r="M28" s="24" t="str">
        <f t="shared" si="2"/>
        <v>E8</v>
      </c>
      <c r="N28" s="25" t="str">
        <f t="shared" si="3"/>
        <v>PASS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>
        <f>SUM(D29:H29)</f>
        <v>0</v>
      </c>
      <c r="J29" s="39">
        <f>SUM(B29,C29,I29)/3</f>
        <v>0</v>
      </c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>
        <f>SUM(D30:H30)</f>
        <v>0</v>
      </c>
      <c r="J30" s="39">
        <f>SUM(B30,C30,I30)/3</f>
        <v>0</v>
      </c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>
        <f>SUM(D32:H32)</f>
        <v>0</v>
      </c>
      <c r="J32" s="39">
        <f>SUM(B32,C32,I32)/3</f>
        <v>0</v>
      </c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50.1</v>
      </c>
      <c r="C33" s="22">
        <v>32.1</v>
      </c>
      <c r="D33" s="48">
        <v>5.7</v>
      </c>
      <c r="E33" s="48">
        <v>3.8125</v>
      </c>
      <c r="F33" s="48">
        <v>8.4166666669999994</v>
      </c>
      <c r="G33" s="48">
        <v>5</v>
      </c>
      <c r="H33" s="23">
        <v>23.2</v>
      </c>
      <c r="I33" s="39">
        <f>SUM(D33:H33)</f>
        <v>46.129166666999993</v>
      </c>
      <c r="J33" s="39">
        <f>SUM(B33,C33,I33)/3</f>
        <v>42.776388888999996</v>
      </c>
      <c r="K33" s="39"/>
      <c r="L33" s="2"/>
      <c r="M33" s="24" t="str">
        <f t="shared" si="2"/>
        <v>E8</v>
      </c>
      <c r="N33" s="25" t="str">
        <f t="shared" si="3"/>
        <v>PASS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81.900000000000006</v>
      </c>
      <c r="C35" s="22">
        <v>63.4</v>
      </c>
      <c r="D35" s="52">
        <v>7.5</v>
      </c>
      <c r="E35" s="52">
        <v>4</v>
      </c>
      <c r="F35" s="53">
        <v>7.5833333329999997</v>
      </c>
      <c r="G35" s="52">
        <v>4</v>
      </c>
      <c r="H35" s="23">
        <v>43</v>
      </c>
      <c r="I35" s="39">
        <f>SUM(D35:H35)</f>
        <v>66.083333332999999</v>
      </c>
      <c r="J35" s="39">
        <f>SUM(B35,C35,I35)/3</f>
        <v>70.461111110999994</v>
      </c>
      <c r="K35" s="39">
        <v>42.6</v>
      </c>
      <c r="L35" s="2">
        <v>85.3</v>
      </c>
      <c r="M35" s="24" t="str">
        <f t="shared" si="2"/>
        <v>B2</v>
      </c>
      <c r="N35" s="25" t="str">
        <f t="shared" si="3"/>
        <v>VERY GOOD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521.80681216933328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5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57.978534685481478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5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3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2.7670262145267674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5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5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4</v>
      </c>
      <c r="P48" s="4"/>
    </row>
    <row r="49" spans="1:16" ht="15.75" thickBot="1" x14ac:dyDescent="0.25">
      <c r="A49" s="16" t="s">
        <v>54</v>
      </c>
      <c r="B49" s="6"/>
      <c r="C49" s="6"/>
      <c r="D49" s="6">
        <v>122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5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50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 t="s">
        <v>47</v>
      </c>
      <c r="M55" s="8"/>
      <c r="N55" s="8" t="s">
        <v>107</v>
      </c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honeticPr fontId="14" alignment="center"/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0175-BD93-3B4E-B831-5FDEE4916E39}">
  <dimension ref="A1:Z55"/>
  <sheetViews>
    <sheetView topLeftCell="A29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83984375" customWidth="1"/>
    <col min="5" max="5" width="4.5703125" customWidth="1"/>
    <col min="6" max="6" width="4.83984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68</v>
      </c>
      <c r="B10" s="66"/>
      <c r="C10" s="66"/>
      <c r="D10" s="66"/>
      <c r="E10" s="66"/>
      <c r="F10" s="66"/>
      <c r="G10" s="66"/>
      <c r="H10" s="66"/>
      <c r="I10" s="66"/>
      <c r="J10" s="63" t="s">
        <v>67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48"/>
      <c r="E15" s="48"/>
      <c r="F15" s="48"/>
      <c r="G15" s="48"/>
      <c r="H15" s="23"/>
      <c r="I15" s="39">
        <f>SUM(D15:H15)</f>
        <v>0</v>
      </c>
      <c r="J15" s="39">
        <f>SUM(B15,C15,I15)/3</f>
        <v>0</v>
      </c>
      <c r="K15" s="39"/>
      <c r="L15" s="24"/>
      <c r="M15" s="24" t="str">
        <f>IF(J15&gt;=89.5,"A1",IF(J15&gt;=79.5,"B2",IF(J15&gt;=69.5,"B3",IF(J15&gt;=59.5,"C4",IF(J15&gt;=54.5,"C5",IF(J15&gt;=49.5,"C6",IF(J15&gt;=44.5,"D7",IF(J15&gt;=39.5,"E8","F"))))))))</f>
        <v>F</v>
      </c>
      <c r="N15" s="25" t="str">
        <f>IF(J15&gt;=89.5,"EXCELLENT",IF(J15&gt;=79.5,"VERY GOOD",IF(J15&gt;=69.5,"GOOD",IF(J15&gt;=59.5,"CREDIT",IF(J15&gt;=54.5,"CREDIT",IF(J15&gt;=49.5,"CREDIT",IF(J15&gt;=44.5,"PASS",IF(J15&gt;=39.5,"PASS","FAIL"))))))))</f>
        <v>FAIL</v>
      </c>
      <c r="O15" s="25"/>
    </row>
    <row r="16" spans="1:15" ht="15.75" thickBot="1" x14ac:dyDescent="0.25">
      <c r="A16" s="43" t="s">
        <v>11</v>
      </c>
      <c r="B16" s="22">
        <v>44.9</v>
      </c>
      <c r="C16" s="22">
        <v>48.8</v>
      </c>
      <c r="D16" s="52">
        <v>4.4000000000000004</v>
      </c>
      <c r="E16" s="52">
        <v>4.2</v>
      </c>
      <c r="F16" s="53">
        <v>2.8333333330000001</v>
      </c>
      <c r="G16" s="52">
        <v>5</v>
      </c>
      <c r="H16" s="48">
        <v>12</v>
      </c>
      <c r="I16" s="39">
        <f>SUM(D16:H16)</f>
        <v>28.433333333</v>
      </c>
      <c r="J16" s="39">
        <f t="shared" ref="J16:J37" si="0">SUM(B16,C16,I16)/3</f>
        <v>40.711111111000001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E8</v>
      </c>
      <c r="N16" s="25" t="str">
        <f>IF(J16&gt;=75,"EXCELLENT",IF(J16&gt;=70,"VERY GOOD",IF(J16&gt;=65,"GOOD",IF(J16&gt;=50,"CREDIT",IF(J16&gt;=40,"PASS","FAIL")))))</f>
        <v>PASS</v>
      </c>
      <c r="O16" s="2"/>
    </row>
    <row r="17" spans="1:26" ht="15.75" thickBot="1" x14ac:dyDescent="0.25">
      <c r="A17" s="43" t="s">
        <v>12</v>
      </c>
      <c r="B17" s="22">
        <v>49.9</v>
      </c>
      <c r="C17" s="22">
        <v>49.1</v>
      </c>
      <c r="D17" s="52">
        <v>9.3000000000000007</v>
      </c>
      <c r="E17" s="52">
        <v>5</v>
      </c>
      <c r="F17" s="53">
        <v>5.9166666670000003</v>
      </c>
      <c r="G17" s="52">
        <v>5</v>
      </c>
      <c r="H17" s="23">
        <v>45</v>
      </c>
      <c r="I17" s="39">
        <f>SUM(D17:H17)</f>
        <v>70.216666666999998</v>
      </c>
      <c r="J17" s="39">
        <f t="shared" si="0"/>
        <v>56.405555555666666</v>
      </c>
      <c r="K17" s="39">
        <v>48.3</v>
      </c>
      <c r="L17" s="2">
        <v>88.3</v>
      </c>
      <c r="M17" s="24" t="str">
        <f t="shared" ref="M17:M35" si="1">IF(J17&gt;=75,"A1",IF(J17&gt;=70,"B2",IF(J17&gt;=65,"B3",IF(J17&gt;=60,"C4",IF(J17&gt;=55,"C5",IF(J17&gt;=50,"C6",IF(J17&gt;=45,"D7",IF(J17&gt;=40,"E8","F9"))))))))</f>
        <v>C5</v>
      </c>
      <c r="N17" s="25" t="str">
        <f t="shared" ref="N17:N35" si="2">IF(J17&gt;=75,"EXCELLENT",IF(J17&gt;=70,"VERY GOOD",IF(J17&gt;=65,"GOOD",IF(J17&gt;=50,"CREDIT",IF(J17&gt;=40,"PASS","FAIL")))))</f>
        <v>CREDIT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43" t="s">
        <v>13</v>
      </c>
      <c r="B18" s="22">
        <v>45.5</v>
      </c>
      <c r="C18" s="22">
        <v>47.2</v>
      </c>
      <c r="D18" s="52">
        <v>8</v>
      </c>
      <c r="E18" s="52">
        <v>4.5999999999999996</v>
      </c>
      <c r="F18" s="53">
        <v>6.9166666670000003</v>
      </c>
      <c r="G18" s="52">
        <v>5</v>
      </c>
      <c r="H18" s="23">
        <v>41</v>
      </c>
      <c r="I18" s="39">
        <f>SUM(D18:H18)</f>
        <v>65.516666666999996</v>
      </c>
      <c r="J18" s="39">
        <f t="shared" si="0"/>
        <v>52.738888889000002</v>
      </c>
      <c r="K18" s="39">
        <v>37.700000000000003</v>
      </c>
      <c r="L18" s="2">
        <v>82.4</v>
      </c>
      <c r="M18" s="24" t="str">
        <f t="shared" si="1"/>
        <v>C6</v>
      </c>
      <c r="N18" s="25" t="str">
        <f t="shared" si="2"/>
        <v>CREDIT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>
        <f>SUM(D19:H19)</f>
        <v>0</v>
      </c>
      <c r="J19" s="39"/>
      <c r="K19" s="39"/>
      <c r="L19" s="2"/>
      <c r="M19" s="24" t="str">
        <f t="shared" si="1"/>
        <v>F9</v>
      </c>
      <c r="N19" s="25" t="str">
        <f t="shared" si="2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>
        <f>SUM(D20:H20)</f>
        <v>0</v>
      </c>
      <c r="J20" s="39"/>
      <c r="K20" s="39"/>
      <c r="L20" s="2"/>
      <c r="M20" s="24" t="str">
        <f t="shared" si="1"/>
        <v>F9</v>
      </c>
      <c r="N20" s="25" t="str">
        <f t="shared" si="2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>SUM(D21:H21)</f>
        <v>0</v>
      </c>
      <c r="J21" s="39">
        <f t="shared" si="0"/>
        <v>0</v>
      </c>
      <c r="K21" s="39"/>
      <c r="L21" s="2"/>
      <c r="M21" s="24" t="str">
        <f t="shared" si="1"/>
        <v>F9</v>
      </c>
      <c r="N21" s="25" t="str">
        <f t="shared" si="2"/>
        <v>FAIL</v>
      </c>
      <c r="O21" s="2"/>
    </row>
    <row r="22" spans="1:26" ht="15.75" thickBot="1" x14ac:dyDescent="0.25">
      <c r="A22" s="43" t="s">
        <v>17</v>
      </c>
      <c r="B22" s="22">
        <v>43.5</v>
      </c>
      <c r="C22" s="22">
        <v>41.7</v>
      </c>
      <c r="D22" s="52">
        <v>7.2</v>
      </c>
      <c r="E22" s="52">
        <v>4.8</v>
      </c>
      <c r="F22" s="53">
        <v>5.4444444440000002</v>
      </c>
      <c r="G22" s="52">
        <v>5</v>
      </c>
      <c r="H22" s="48">
        <v>22</v>
      </c>
      <c r="I22" s="39">
        <f>SUM(D22:H22)</f>
        <v>44.444444443999998</v>
      </c>
      <c r="J22" s="39">
        <f t="shared" si="0"/>
        <v>43.21481481466666</v>
      </c>
      <c r="K22" s="39">
        <v>30.3</v>
      </c>
      <c r="L22" s="2">
        <v>69.2</v>
      </c>
      <c r="M22" s="24" t="str">
        <f t="shared" si="1"/>
        <v>E8</v>
      </c>
      <c r="N22" s="25" t="str">
        <f t="shared" si="2"/>
        <v>PASS</v>
      </c>
      <c r="O22" s="2"/>
    </row>
    <row r="23" spans="1:26" ht="15.75" thickBot="1" x14ac:dyDescent="0.25">
      <c r="A23" s="43" t="s">
        <v>18</v>
      </c>
      <c r="B23" s="22">
        <v>32.4</v>
      </c>
      <c r="C23" s="22">
        <v>30.7</v>
      </c>
      <c r="D23" s="52">
        <v>8</v>
      </c>
      <c r="E23" s="52">
        <v>2.5</v>
      </c>
      <c r="F23" s="53">
        <v>3.3333333330000001</v>
      </c>
      <c r="G23" s="52">
        <v>5</v>
      </c>
      <c r="H23" s="23">
        <v>12</v>
      </c>
      <c r="I23" s="39">
        <f>SUM(D23:H23)</f>
        <v>30.833333332999999</v>
      </c>
      <c r="J23" s="39">
        <f t="shared" si="0"/>
        <v>31.311111110999999</v>
      </c>
      <c r="K23" s="39">
        <v>31.3</v>
      </c>
      <c r="L23" s="2">
        <v>58.4</v>
      </c>
      <c r="M23" s="24" t="str">
        <f t="shared" si="1"/>
        <v>F9</v>
      </c>
      <c r="N23" s="25" t="str">
        <f t="shared" si="2"/>
        <v>FAIL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>
        <f>SUM(D24:H24)</f>
        <v>0</v>
      </c>
      <c r="J24" s="39"/>
      <c r="K24" s="39"/>
      <c r="L24" s="2"/>
      <c r="M24" s="24" t="str">
        <f t="shared" si="1"/>
        <v>F9</v>
      </c>
      <c r="N24" s="25" t="str">
        <f t="shared" si="2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>
        <f>SUM(D25:H25)</f>
        <v>0</v>
      </c>
      <c r="J25" s="39"/>
      <c r="K25" s="39"/>
      <c r="L25" s="2"/>
      <c r="M25" s="24" t="str">
        <f t="shared" si="1"/>
        <v>F9</v>
      </c>
      <c r="N25" s="25" t="str">
        <f t="shared" si="2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>SUM(D26:H26)</f>
        <v>0</v>
      </c>
      <c r="J26" s="39">
        <f t="shared" si="0"/>
        <v>0</v>
      </c>
      <c r="K26" s="39"/>
      <c r="L26" s="2"/>
      <c r="M26" s="24" t="str">
        <f t="shared" si="1"/>
        <v>F9</v>
      </c>
      <c r="N26" s="25" t="str">
        <f t="shared" si="2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>
        <f>SUM(D27:H27)</f>
        <v>0</v>
      </c>
      <c r="J27" s="39"/>
      <c r="K27" s="39"/>
      <c r="L27" s="2"/>
      <c r="M27" s="24" t="str">
        <f t="shared" si="1"/>
        <v>F9</v>
      </c>
      <c r="N27" s="25" t="str">
        <f t="shared" si="2"/>
        <v>FAIL</v>
      </c>
      <c r="O27" s="2"/>
    </row>
    <row r="28" spans="1:26" ht="15.75" thickBot="1" x14ac:dyDescent="0.25">
      <c r="A28" s="43" t="s">
        <v>23</v>
      </c>
      <c r="B28" s="22">
        <v>40.9</v>
      </c>
      <c r="C28" s="22">
        <v>23.3</v>
      </c>
      <c r="D28" s="52">
        <v>6.1428571429999996</v>
      </c>
      <c r="E28" s="52">
        <v>3.4166666669999999</v>
      </c>
      <c r="F28" s="53">
        <v>3</v>
      </c>
      <c r="G28" s="52">
        <v>5</v>
      </c>
      <c r="H28" s="23">
        <v>14</v>
      </c>
      <c r="I28" s="39">
        <f>SUM(D28:H28)</f>
        <v>31.559523810000002</v>
      </c>
      <c r="J28" s="39">
        <f t="shared" si="0"/>
        <v>31.919841270000003</v>
      </c>
      <c r="K28" s="39"/>
      <c r="L28" s="2"/>
      <c r="M28" s="24" t="str">
        <f t="shared" si="1"/>
        <v>F9</v>
      </c>
      <c r="N28" s="25" t="str">
        <f t="shared" si="2"/>
        <v>FAIL</v>
      </c>
      <c r="O28" s="2"/>
    </row>
    <row r="29" spans="1:26" ht="15.75" thickBot="1" x14ac:dyDescent="0.25">
      <c r="A29" s="43" t="s">
        <v>24</v>
      </c>
      <c r="B29" s="22">
        <v>23.2</v>
      </c>
      <c r="C29" s="22">
        <v>26</v>
      </c>
      <c r="D29" s="52">
        <v>7.5</v>
      </c>
      <c r="E29" s="52">
        <v>4.0999999999999996</v>
      </c>
      <c r="F29" s="53">
        <v>5.1666666670000003</v>
      </c>
      <c r="G29" s="52">
        <v>4</v>
      </c>
      <c r="H29" s="23">
        <v>26</v>
      </c>
      <c r="I29" s="39">
        <f>SUM(D29:H29)</f>
        <v>46.766666666999996</v>
      </c>
      <c r="J29" s="39">
        <f>SUM(B29,C29,I29)/2</f>
        <v>47.983333333499999</v>
      </c>
      <c r="K29" s="39"/>
      <c r="L29" s="2"/>
      <c r="M29" s="24" t="str">
        <f t="shared" si="1"/>
        <v>D7</v>
      </c>
      <c r="N29" s="25" t="str">
        <f t="shared" si="2"/>
        <v>PASS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>
        <f>SUM(D30:H30)</f>
        <v>0</v>
      </c>
      <c r="J30" s="39"/>
      <c r="K30" s="39"/>
      <c r="L30" s="2"/>
      <c r="M30" s="24" t="str">
        <f t="shared" si="1"/>
        <v>F9</v>
      </c>
      <c r="N30" s="25" t="str">
        <f t="shared" si="2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>SUM(D31:H31)</f>
        <v>0</v>
      </c>
      <c r="J31" s="39">
        <f t="shared" si="0"/>
        <v>0</v>
      </c>
      <c r="K31" s="39"/>
      <c r="L31" s="2"/>
      <c r="M31" s="24" t="str">
        <f t="shared" si="1"/>
        <v>F9</v>
      </c>
      <c r="N31" s="25" t="str">
        <f t="shared" si="2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>
        <f>SUM(D32:H32)</f>
        <v>0</v>
      </c>
      <c r="J32" s="39"/>
      <c r="K32" s="39"/>
      <c r="L32" s="2"/>
      <c r="M32" s="24" t="str">
        <f t="shared" si="1"/>
        <v>F9</v>
      </c>
      <c r="N32" s="25" t="str">
        <f t="shared" si="2"/>
        <v>FAIL</v>
      </c>
      <c r="O32" s="2"/>
    </row>
    <row r="33" spans="1:16" ht="15.75" thickBot="1" x14ac:dyDescent="0.25">
      <c r="A33" s="43" t="s">
        <v>28</v>
      </c>
      <c r="B33" s="22">
        <v>31.5</v>
      </c>
      <c r="C33" s="22">
        <v>36.9</v>
      </c>
      <c r="D33" s="52">
        <v>2.5</v>
      </c>
      <c r="E33" s="52">
        <v>2.6666666669999999</v>
      </c>
      <c r="F33" s="53">
        <v>2.5</v>
      </c>
      <c r="G33" s="52">
        <v>5</v>
      </c>
      <c r="H33" s="23">
        <v>23.6</v>
      </c>
      <c r="I33" s="39">
        <f>SUM(D33:H33)</f>
        <v>36.266666667000003</v>
      </c>
      <c r="J33" s="39">
        <f t="shared" si="0"/>
        <v>34.888888889000008</v>
      </c>
      <c r="K33" s="39"/>
      <c r="L33" s="2"/>
      <c r="M33" s="24" t="str">
        <f t="shared" si="1"/>
        <v>F9</v>
      </c>
      <c r="N33" s="25" t="str">
        <f t="shared" si="2"/>
        <v>FAIL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>
        <f>SUM(D34:H34)</f>
        <v>0</v>
      </c>
      <c r="J34" s="39"/>
      <c r="K34" s="39"/>
      <c r="L34" s="2"/>
      <c r="M34" s="24" t="str">
        <f t="shared" si="1"/>
        <v>F9</v>
      </c>
      <c r="N34" s="25" t="str">
        <f t="shared" si="2"/>
        <v>FAIL</v>
      </c>
      <c r="O34" s="2"/>
    </row>
    <row r="35" spans="1:16" ht="15.75" thickBot="1" x14ac:dyDescent="0.25">
      <c r="A35" s="43" t="s">
        <v>30</v>
      </c>
      <c r="B35" s="22">
        <v>64.099999999999994</v>
      </c>
      <c r="C35" s="22">
        <v>22.4</v>
      </c>
      <c r="D35" s="52">
        <v>7.25</v>
      </c>
      <c r="E35" s="52">
        <v>4</v>
      </c>
      <c r="F35" s="53">
        <v>4.3333333329999997</v>
      </c>
      <c r="G35" s="52">
        <v>4</v>
      </c>
      <c r="H35" s="48">
        <v>39</v>
      </c>
      <c r="I35" s="39">
        <f>SUM(D35:H35)</f>
        <v>58.583333332999999</v>
      </c>
      <c r="J35" s="39">
        <f t="shared" si="0"/>
        <v>48.361111110999992</v>
      </c>
      <c r="K35" s="39">
        <v>42.6</v>
      </c>
      <c r="L35" s="2">
        <v>85.3</v>
      </c>
      <c r="M35" s="24" t="str">
        <f t="shared" si="1"/>
        <v>D7</v>
      </c>
      <c r="N35" s="25" t="str">
        <f t="shared" si="2"/>
        <v>PASS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387.53465608483333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43.059406231648147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3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1.9888455988467171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3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3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3</v>
      </c>
      <c r="P48" s="4"/>
    </row>
    <row r="49" spans="1:16" ht="15.75" thickBot="1" x14ac:dyDescent="0.25">
      <c r="A49" s="16" t="s">
        <v>54</v>
      </c>
      <c r="B49" s="6"/>
      <c r="C49" s="6"/>
      <c r="D49" s="6">
        <v>114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3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38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TO REPEAT SS2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 t="s">
        <v>47</v>
      </c>
      <c r="M55" s="8"/>
      <c r="N55" s="8" t="s">
        <v>107</v>
      </c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honeticPr fontId="14" alignment="center"/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DB6F-1CBF-C546-998A-1BF93823562A}">
  <dimension ref="A1:Z55"/>
  <sheetViews>
    <sheetView topLeftCell="A13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5.37890625" customWidth="1"/>
    <col min="5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70</v>
      </c>
      <c r="B10" s="66"/>
      <c r="C10" s="66"/>
      <c r="D10" s="66"/>
      <c r="E10" s="66"/>
      <c r="F10" s="66"/>
      <c r="G10" s="66"/>
      <c r="H10" s="66"/>
      <c r="I10" s="66"/>
      <c r="J10" s="63" t="s">
        <v>69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43" t="s">
        <v>11</v>
      </c>
      <c r="B16" s="22">
        <v>76.900000000000006</v>
      </c>
      <c r="C16" s="22">
        <v>85.9</v>
      </c>
      <c r="D16" s="52">
        <v>6.6</v>
      </c>
      <c r="E16" s="52">
        <v>4.8</v>
      </c>
      <c r="F16" s="53">
        <v>8.4166666669999994</v>
      </c>
      <c r="G16" s="52">
        <v>5</v>
      </c>
      <c r="H16" s="48">
        <v>53</v>
      </c>
      <c r="I16" s="39">
        <f t="shared" ref="I16:I35" si="0">SUM(D16:H16)</f>
        <v>77.816666666999993</v>
      </c>
      <c r="J16" s="39">
        <f t="shared" ref="J16:J35" si="1">SUM(B16,C16,I16)/3</f>
        <v>80.205555555666663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A1</v>
      </c>
      <c r="N16" s="25" t="str">
        <f>IF(J16&gt;=75,"EXCELLENT",IF(J16&gt;=70,"VERY GOOD",IF(J16&gt;=65,"GOOD",IF(J16&gt;=50,"CREDIT",IF(J16&gt;=40,"PASS","FAIL")))))</f>
        <v>EXCELLENT</v>
      </c>
      <c r="O16" s="2"/>
    </row>
    <row r="17" spans="1:26" ht="15.75" thickBot="1" x14ac:dyDescent="0.25">
      <c r="A17" s="43" t="s">
        <v>12</v>
      </c>
      <c r="B17" s="22">
        <v>57.7</v>
      </c>
      <c r="C17" s="22">
        <v>89.7</v>
      </c>
      <c r="D17" s="52">
        <v>10</v>
      </c>
      <c r="E17" s="52">
        <v>5</v>
      </c>
      <c r="F17" s="53">
        <v>9.9166666669999994</v>
      </c>
      <c r="G17" s="52">
        <v>5</v>
      </c>
      <c r="H17" s="23">
        <v>54.5</v>
      </c>
      <c r="I17" s="39">
        <f>SUM(D17:H17)</f>
        <v>84.416666667000001</v>
      </c>
      <c r="J17" s="39">
        <f>SUM(B17,C17,I17)/3</f>
        <v>77.272222222333326</v>
      </c>
      <c r="K17" s="39">
        <v>48.3</v>
      </c>
      <c r="L17" s="2">
        <v>88.3</v>
      </c>
      <c r="M17" s="24" t="str">
        <f t="shared" ref="M17:M35" si="2">IF(J17&gt;=75,"A1",IF(J17&gt;=70,"B2",IF(J17&gt;=65,"B3",IF(J17&gt;=60,"C4",IF(J17&gt;=55,"C5",IF(J17&gt;=50,"C6",IF(J17&gt;=45,"D7",IF(J17&gt;=40,"E8","F9"))))))))</f>
        <v>A1</v>
      </c>
      <c r="N17" s="25" t="str">
        <f t="shared" ref="N17:N35" si="3"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43" t="s">
        <v>13</v>
      </c>
      <c r="B18" s="22">
        <v>69.400000000000006</v>
      </c>
      <c r="C18" s="22">
        <v>77.599999999999994</v>
      </c>
      <c r="D18" s="52">
        <v>9.1999999999999993</v>
      </c>
      <c r="E18" s="52">
        <v>4.5999999999999996</v>
      </c>
      <c r="F18" s="53">
        <v>8.75</v>
      </c>
      <c r="G18" s="52">
        <v>4.5</v>
      </c>
      <c r="H18" s="23">
        <v>49</v>
      </c>
      <c r="I18" s="39">
        <f>SUM(D18:H18)</f>
        <v>76.05</v>
      </c>
      <c r="J18" s="39">
        <f>SUM(B18,C18,I18)/3</f>
        <v>74.350000000000009</v>
      </c>
      <c r="K18" s="39">
        <v>37.700000000000003</v>
      </c>
      <c r="L18" s="2">
        <v>82.4</v>
      </c>
      <c r="M18" s="24" t="str">
        <f t="shared" si="2"/>
        <v>B2</v>
      </c>
      <c r="N18" s="25" t="str">
        <f t="shared" si="3"/>
        <v>VERY GOOD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>
        <f>SUM(D19:H19)</f>
        <v>0</v>
      </c>
      <c r="J19" s="39">
        <f>SUM(B19,C19,I19)/3</f>
        <v>0</v>
      </c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>
        <f>SUM(D20:H20)</f>
        <v>0</v>
      </c>
      <c r="J20" s="39">
        <f>SUM(B20,C20,I20)/3</f>
        <v>0</v>
      </c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69.2</v>
      </c>
      <c r="C22" s="22">
        <v>70.099999999999994</v>
      </c>
      <c r="D22" s="52">
        <v>9.6</v>
      </c>
      <c r="E22" s="52">
        <v>5</v>
      </c>
      <c r="F22" s="53">
        <v>5.5555555559999998</v>
      </c>
      <c r="G22" s="52">
        <v>5</v>
      </c>
      <c r="H22" s="48">
        <v>43</v>
      </c>
      <c r="I22" s="39">
        <f>SUM(D22:H22)</f>
        <v>68.155555555999996</v>
      </c>
      <c r="J22" s="39">
        <f>SUM(B22,C22,I22)/3</f>
        <v>69.151851852000007</v>
      </c>
      <c r="K22" s="39">
        <v>30.3</v>
      </c>
      <c r="L22" s="2">
        <v>69.2</v>
      </c>
      <c r="M22" s="24" t="str">
        <f t="shared" si="2"/>
        <v>B3</v>
      </c>
      <c r="N22" s="25" t="str">
        <f t="shared" si="3"/>
        <v>GOOD</v>
      </c>
      <c r="O22" s="2"/>
    </row>
    <row r="23" spans="1:26" ht="15.75" thickBot="1" x14ac:dyDescent="0.25">
      <c r="A23" s="43" t="s">
        <v>18</v>
      </c>
      <c r="B23" s="22">
        <v>53.6</v>
      </c>
      <c r="C23" s="22">
        <v>55.3</v>
      </c>
      <c r="D23" s="52">
        <v>8</v>
      </c>
      <c r="E23" s="52">
        <v>3.5</v>
      </c>
      <c r="F23" s="53">
        <v>8.6666666669999994</v>
      </c>
      <c r="G23" s="52">
        <v>5</v>
      </c>
      <c r="H23" s="23">
        <v>41</v>
      </c>
      <c r="I23" s="39">
        <f>SUM(D23:H23)</f>
        <v>66.166666667000001</v>
      </c>
      <c r="J23" s="39">
        <f>SUM(B23,C23,I23)/3</f>
        <v>58.355555555666662</v>
      </c>
      <c r="K23" s="39">
        <v>31.3</v>
      </c>
      <c r="L23" s="2">
        <v>58.4</v>
      </c>
      <c r="M23" s="24" t="str">
        <f t="shared" si="2"/>
        <v>C5</v>
      </c>
      <c r="N23" s="25" t="str">
        <f t="shared" si="3"/>
        <v>CREDIT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>
        <f>SUM(D24:H24)</f>
        <v>0</v>
      </c>
      <c r="J24" s="39">
        <f>SUM(B24,C24,I24)/3</f>
        <v>0</v>
      </c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thickBot="1" x14ac:dyDescent="0.25">
      <c r="A27" s="43" t="s">
        <v>22</v>
      </c>
      <c r="B27" s="22"/>
      <c r="C27" s="22">
        <v>39</v>
      </c>
      <c r="D27" s="52">
        <v>8</v>
      </c>
      <c r="E27" s="52">
        <v>3.625</v>
      </c>
      <c r="F27" s="53">
        <v>7.3333333329999997</v>
      </c>
      <c r="G27" s="52">
        <v>5</v>
      </c>
      <c r="H27" s="23">
        <v>41</v>
      </c>
      <c r="I27" s="39">
        <f>SUM(D27:H27)</f>
        <v>64.958333332999999</v>
      </c>
      <c r="J27" s="39">
        <f>SUM(B27,C27,I27)/2</f>
        <v>51.979166666499999</v>
      </c>
      <c r="K27" s="39">
        <v>41.8</v>
      </c>
      <c r="L27" s="2">
        <v>59.9</v>
      </c>
      <c r="M27" s="24" t="str">
        <f t="shared" si="2"/>
        <v>C6</v>
      </c>
      <c r="N27" s="25" t="str">
        <f t="shared" si="3"/>
        <v>CREDIT</v>
      </c>
      <c r="O27" s="2"/>
    </row>
    <row r="28" spans="1:26" ht="15.75" thickBot="1" x14ac:dyDescent="0.25">
      <c r="A28" s="43" t="s">
        <v>23</v>
      </c>
      <c r="B28" s="22">
        <v>62.7</v>
      </c>
      <c r="C28" s="22">
        <v>56.7</v>
      </c>
      <c r="D28" s="52">
        <v>9.8571428569999995</v>
      </c>
      <c r="E28" s="52">
        <v>4.8333333329999997</v>
      </c>
      <c r="F28" s="53">
        <v>8.3333333330000006</v>
      </c>
      <c r="G28" s="52">
        <v>5</v>
      </c>
      <c r="H28" s="23">
        <v>38.299999999999997</v>
      </c>
      <c r="I28" s="39">
        <f>SUM(D28:H28)</f>
        <v>66.323809522999994</v>
      </c>
      <c r="J28" s="39">
        <f>SUM(B28,C28,I28)/3</f>
        <v>61.907936507666669</v>
      </c>
      <c r="K28" s="39"/>
      <c r="L28" s="2"/>
      <c r="M28" s="24" t="str">
        <f t="shared" si="2"/>
        <v>C4</v>
      </c>
      <c r="N28" s="25" t="str">
        <f t="shared" si="3"/>
        <v>CREDIT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>
        <f>SUM(D29:H29)</f>
        <v>0</v>
      </c>
      <c r="J29" s="39">
        <f>SUM(B29,C29,I29)/3</f>
        <v>0</v>
      </c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>
        <f>SUM(D30:H30)</f>
        <v>0</v>
      </c>
      <c r="J30" s="39">
        <f>SUM(B30,C30,I30)/3</f>
        <v>0</v>
      </c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>
        <f>SUM(D32:H32)</f>
        <v>0</v>
      </c>
      <c r="J32" s="39">
        <f>SUM(B32,C32,I32)/3</f>
        <v>0</v>
      </c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62</v>
      </c>
      <c r="C33" s="22">
        <v>60.1</v>
      </c>
      <c r="D33" s="52">
        <v>7.5</v>
      </c>
      <c r="E33" s="52">
        <v>3.9166666669999999</v>
      </c>
      <c r="F33" s="53">
        <v>7.3333333329999997</v>
      </c>
      <c r="G33" s="52">
        <v>5</v>
      </c>
      <c r="H33" s="23">
        <v>26.9</v>
      </c>
      <c r="I33" s="39">
        <f>SUM(D33:H33)</f>
        <v>50.65</v>
      </c>
      <c r="J33" s="39">
        <f>SUM(B33,C33,I33)/3</f>
        <v>57.583333333333336</v>
      </c>
      <c r="K33" s="39"/>
      <c r="L33" s="2"/>
      <c r="M33" s="24" t="str">
        <f t="shared" si="2"/>
        <v>C5</v>
      </c>
      <c r="N33" s="25" t="str">
        <f t="shared" si="3"/>
        <v>CREDIT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85.9</v>
      </c>
      <c r="C35" s="22">
        <v>80.3</v>
      </c>
      <c r="D35" s="52">
        <v>8.8000000000000007</v>
      </c>
      <c r="E35" s="52">
        <v>4.7</v>
      </c>
      <c r="F35" s="53">
        <v>9.1666666669999994</v>
      </c>
      <c r="G35" s="52">
        <v>4</v>
      </c>
      <c r="H35" s="48">
        <v>47.5</v>
      </c>
      <c r="I35" s="39">
        <f>SUM(D35:H35)</f>
        <v>74.166666667000001</v>
      </c>
      <c r="J35" s="39">
        <f>SUM(B35,C35,I35)/3</f>
        <v>80.122222222333335</v>
      </c>
      <c r="K35" s="39">
        <v>42.6</v>
      </c>
      <c r="L35" s="2">
        <v>85.3</v>
      </c>
      <c r="M35" s="24" t="str">
        <f t="shared" si="2"/>
        <v>A1</v>
      </c>
      <c r="N35" s="25" t="str">
        <f t="shared" si="3"/>
        <v>EXCELLENT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610.92784391550003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67.880871546166674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5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4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3.3030820105818184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4</v>
      </c>
      <c r="P48" s="4"/>
    </row>
    <row r="49" spans="1:16" ht="15.75" thickBot="1" x14ac:dyDescent="0.25">
      <c r="A49" s="16" t="s">
        <v>54</v>
      </c>
      <c r="B49" s="6"/>
      <c r="C49" s="6"/>
      <c r="D49" s="6">
        <v>122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5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49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 t="s">
        <v>47</v>
      </c>
      <c r="M55" s="8"/>
      <c r="N55" s="8" t="s">
        <v>107</v>
      </c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54AC-1FBB-BD4C-8A48-D5AC212075C9}">
  <dimension ref="A1:Z55"/>
  <sheetViews>
    <sheetView topLeftCell="A13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5.37890625" customWidth="1"/>
    <col min="5" max="5" width="5.6484375" customWidth="1"/>
    <col min="6" max="6" width="5.3789062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71</v>
      </c>
      <c r="B10" s="66"/>
      <c r="C10" s="66"/>
      <c r="D10" s="66"/>
      <c r="E10" s="66"/>
      <c r="F10" s="66"/>
      <c r="G10" s="66"/>
      <c r="H10" s="66"/>
      <c r="I10" s="66"/>
      <c r="J10" s="63" t="s">
        <v>72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thickBot="1" x14ac:dyDescent="0.25">
      <c r="A15" s="21" t="s">
        <v>8</v>
      </c>
      <c r="B15" s="22"/>
      <c r="C15" s="22"/>
      <c r="D15" s="52">
        <v>8.25</v>
      </c>
      <c r="E15" s="52">
        <v>5</v>
      </c>
      <c r="F15" s="53">
        <v>8.8333333330000006</v>
      </c>
      <c r="G15" s="52">
        <v>4</v>
      </c>
      <c r="H15" s="23">
        <v>51</v>
      </c>
      <c r="I15" s="39">
        <f>SUM(D15:H15)</f>
        <v>77.083333332999999</v>
      </c>
      <c r="J15" s="39">
        <f>SUM(B15,C15,I15)/1</f>
        <v>77.083333332999999</v>
      </c>
      <c r="K15" s="39">
        <v>48.3</v>
      </c>
      <c r="L15" s="24">
        <v>73.099999999999994</v>
      </c>
      <c r="M15" s="24" t="str">
        <f>IF(J15&gt;=75,"A1",IF(J15&gt;=70,"B2",IF(J15&gt;=65,"B3",IF(J15&gt;=60,"C4",IF(J15&gt;=55,"C5",IF(J15&gt;=50,"C6",IF(J15&gt;=45,"D7",IF(J15&gt;=40,"E8","F9"))))))))</f>
        <v>A1</v>
      </c>
      <c r="N15" s="25" t="str">
        <f>IF(J15&gt;=75,"EXCELLENT",IF(J15&gt;=70,"VERY GOOD",IF(J15&gt;=65,"GOOD",IF(J15&gt;=50,"CREDIT",IF(J15&gt;=40,"PASS","FAIL")))))</f>
        <v>EXCELLENT</v>
      </c>
      <c r="O15" s="25"/>
    </row>
    <row r="16" spans="1:15" ht="15.75" thickBot="1" x14ac:dyDescent="0.25">
      <c r="A16" s="43" t="s">
        <v>11</v>
      </c>
      <c r="B16" s="22">
        <v>68.400000000000006</v>
      </c>
      <c r="C16" s="22">
        <v>80.8</v>
      </c>
      <c r="D16" s="52">
        <v>8.1999999999999993</v>
      </c>
      <c r="E16" s="52">
        <v>4.9000000000000004</v>
      </c>
      <c r="F16" s="53">
        <v>8.4166666669999994</v>
      </c>
      <c r="G16" s="52">
        <v>5</v>
      </c>
      <c r="H16" s="48">
        <v>53</v>
      </c>
      <c r="I16" s="39">
        <f t="shared" ref="I16:I37" si="0">SUM(D16:H16)</f>
        <v>79.516666666999996</v>
      </c>
      <c r="J16" s="39">
        <f t="shared" ref="J16:J37" si="1">SUM(B16,C16,I16)/3</f>
        <v>76.238888888999995</v>
      </c>
      <c r="K16" s="39">
        <v>40.700000000000003</v>
      </c>
      <c r="L16" s="2">
        <v>80.2</v>
      </c>
      <c r="M16" s="24" t="str">
        <f t="shared" ref="M16:M35" si="2">IF(J16&gt;=75,"A1",IF(J16&gt;=70,"B2",IF(J16&gt;=65,"B3",IF(J16&gt;=60,"C4",IF(J16&gt;=55,"C5",IF(J16&gt;=50,"C6",IF(J16&gt;=45,"D7",IF(J16&gt;=40,"E8","F9"))))))))</f>
        <v>A1</v>
      </c>
      <c r="N16" s="25" t="str">
        <f t="shared" ref="N16:N35" si="3">IF(J16&gt;=75,"EXCELLENT",IF(J16&gt;=70,"VERY GOOD",IF(J16&gt;=65,"GOOD",IF(J16&gt;=50,"CREDIT",IF(J16&gt;=40,"PASS","FAIL")))))</f>
        <v>EXCELLENT</v>
      </c>
      <c r="O16" s="2"/>
    </row>
    <row r="17" spans="1:26" ht="15.75" thickBot="1" x14ac:dyDescent="0.25">
      <c r="A17" s="43" t="s">
        <v>12</v>
      </c>
      <c r="B17" s="22">
        <v>84.4</v>
      </c>
      <c r="C17" s="22">
        <v>84</v>
      </c>
      <c r="D17" s="52">
        <v>10</v>
      </c>
      <c r="E17" s="52">
        <v>5</v>
      </c>
      <c r="F17" s="53">
        <v>7.6666666670000003</v>
      </c>
      <c r="G17" s="52">
        <v>5</v>
      </c>
      <c r="H17" s="23">
        <v>59.5</v>
      </c>
      <c r="I17" s="39">
        <f t="shared" si="0"/>
        <v>87.166666667000001</v>
      </c>
      <c r="J17" s="39">
        <f t="shared" si="1"/>
        <v>85.188888888999998</v>
      </c>
      <c r="K17" s="39">
        <v>48.3</v>
      </c>
      <c r="L17" s="2">
        <v>88.3</v>
      </c>
      <c r="M17" s="24" t="str">
        <f t="shared" si="2"/>
        <v>A1</v>
      </c>
      <c r="N17" s="25" t="str">
        <f t="shared" si="3"/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GOOD</v>
      </c>
    </row>
    <row r="18" spans="1:26" ht="15.75" thickBot="1" x14ac:dyDescent="0.25">
      <c r="A18" s="43" t="s">
        <v>13</v>
      </c>
      <c r="B18" s="22">
        <v>61.5</v>
      </c>
      <c r="C18" s="22">
        <v>77.5</v>
      </c>
      <c r="D18" s="52">
        <v>8.6</v>
      </c>
      <c r="E18" s="52">
        <v>4.7</v>
      </c>
      <c r="F18" s="53">
        <v>8</v>
      </c>
      <c r="G18" s="52">
        <v>4</v>
      </c>
      <c r="H18" s="23">
        <v>54</v>
      </c>
      <c r="I18" s="39">
        <f t="shared" si="0"/>
        <v>79.3</v>
      </c>
      <c r="J18" s="39">
        <f t="shared" si="1"/>
        <v>72.766666666666666</v>
      </c>
      <c r="K18" s="39">
        <v>37.700000000000003</v>
      </c>
      <c r="L18" s="2">
        <v>82.4</v>
      </c>
      <c r="M18" s="24" t="str">
        <f t="shared" si="2"/>
        <v>B2</v>
      </c>
      <c r="N18" s="25" t="str">
        <f t="shared" si="3"/>
        <v>VERY GOOD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/>
      <c r="J19" s="39"/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52.3</v>
      </c>
      <c r="C22" s="22">
        <v>64.5</v>
      </c>
      <c r="D22" s="52">
        <v>10</v>
      </c>
      <c r="E22" s="52">
        <v>5</v>
      </c>
      <c r="F22" s="53">
        <v>7.5555555559999998</v>
      </c>
      <c r="G22" s="52">
        <v>5</v>
      </c>
      <c r="H22" s="48">
        <v>51.5</v>
      </c>
      <c r="I22" s="39">
        <f t="shared" si="0"/>
        <v>79.055555556000002</v>
      </c>
      <c r="J22" s="39">
        <f t="shared" si="1"/>
        <v>65.285185185333333</v>
      </c>
      <c r="K22" s="39">
        <v>30.3</v>
      </c>
      <c r="L22" s="2">
        <v>69.2</v>
      </c>
      <c r="M22" s="24" t="str">
        <f t="shared" si="2"/>
        <v>B3</v>
      </c>
      <c r="N22" s="25" t="str">
        <f t="shared" si="3"/>
        <v>GOOD</v>
      </c>
      <c r="O22" s="2"/>
    </row>
    <row r="23" spans="1:26" ht="15.75" thickBot="1" x14ac:dyDescent="0.25">
      <c r="A23" s="43" t="s">
        <v>18</v>
      </c>
      <c r="B23" s="22">
        <v>58.1</v>
      </c>
      <c r="C23" s="22">
        <v>47.7</v>
      </c>
      <c r="D23" s="52">
        <v>8</v>
      </c>
      <c r="E23" s="52">
        <v>3.5</v>
      </c>
      <c r="F23" s="53">
        <v>6</v>
      </c>
      <c r="G23" s="52">
        <v>5</v>
      </c>
      <c r="H23" s="23">
        <v>37</v>
      </c>
      <c r="I23" s="39">
        <f t="shared" si="0"/>
        <v>59.5</v>
      </c>
      <c r="J23" s="39">
        <f t="shared" si="1"/>
        <v>55.1</v>
      </c>
      <c r="K23" s="39">
        <v>31.3</v>
      </c>
      <c r="L23" s="2">
        <v>58.4</v>
      </c>
      <c r="M23" s="24" t="str">
        <f t="shared" si="2"/>
        <v>C5</v>
      </c>
      <c r="N23" s="25" t="str">
        <f t="shared" si="3"/>
        <v>CREDIT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/>
      <c r="J24" s="39"/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/>
      <c r="J25" s="39"/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/>
      <c r="J27" s="39">
        <f t="shared" si="1"/>
        <v>0</v>
      </c>
      <c r="K27" s="39"/>
      <c r="L27" s="2"/>
      <c r="M27" s="24" t="str">
        <f t="shared" si="2"/>
        <v>F9</v>
      </c>
      <c r="N27" s="25" t="str">
        <f t="shared" si="3"/>
        <v>FAIL</v>
      </c>
      <c r="O27" s="2"/>
    </row>
    <row r="28" spans="1:26" ht="15.75" thickBot="1" x14ac:dyDescent="0.25">
      <c r="A28" s="43" t="s">
        <v>23</v>
      </c>
      <c r="B28" s="22">
        <v>48.1</v>
      </c>
      <c r="C28" s="22">
        <v>32.5</v>
      </c>
      <c r="D28" s="52">
        <v>9.5714285710000002</v>
      </c>
      <c r="E28" s="52">
        <v>3.75</v>
      </c>
      <c r="F28" s="53">
        <v>5.9166666670000003</v>
      </c>
      <c r="G28" s="52">
        <v>4</v>
      </c>
      <c r="H28" s="23">
        <v>20.6</v>
      </c>
      <c r="I28" s="39">
        <f t="shared" si="0"/>
        <v>43.838095238000001</v>
      </c>
      <c r="J28" s="39">
        <f t="shared" si="1"/>
        <v>41.479365079333327</v>
      </c>
      <c r="K28" s="39"/>
      <c r="L28" s="2"/>
      <c r="M28" s="24" t="str">
        <f t="shared" si="2"/>
        <v>E8</v>
      </c>
      <c r="N28" s="25" t="str">
        <f t="shared" si="3"/>
        <v>PASS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/>
      <c r="J29" s="39"/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/>
      <c r="J30" s="39"/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9" t="s">
        <v>27</v>
      </c>
      <c r="B32" s="22"/>
      <c r="C32" s="22"/>
      <c r="D32" s="22"/>
      <c r="E32" s="22"/>
      <c r="F32" s="22"/>
      <c r="G32" s="23"/>
      <c r="H32" s="23"/>
      <c r="I32" s="39"/>
      <c r="J32" s="39"/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53.2</v>
      </c>
      <c r="C33" s="22">
        <v>47.7</v>
      </c>
      <c r="D33" s="52">
        <v>7.5</v>
      </c>
      <c r="E33" s="52">
        <v>3</v>
      </c>
      <c r="F33" s="53">
        <v>5</v>
      </c>
      <c r="G33" s="52">
        <v>5</v>
      </c>
      <c r="H33" s="23">
        <v>33.5</v>
      </c>
      <c r="I33" s="39">
        <f t="shared" si="0"/>
        <v>54</v>
      </c>
      <c r="J33" s="39">
        <f t="shared" si="1"/>
        <v>51.633333333333333</v>
      </c>
      <c r="K33" s="39"/>
      <c r="L33" s="2"/>
      <c r="M33" s="24" t="str">
        <f t="shared" si="2"/>
        <v>C6</v>
      </c>
      <c r="N33" s="25" t="str">
        <f t="shared" si="3"/>
        <v>CREDIT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/>
      <c r="J34" s="39"/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82.6</v>
      </c>
      <c r="C35" s="22">
        <v>79.7</v>
      </c>
      <c r="D35" s="52">
        <v>9.6</v>
      </c>
      <c r="E35" s="52">
        <v>5</v>
      </c>
      <c r="F35" s="53">
        <v>7.9166666670000003</v>
      </c>
      <c r="G35" s="52">
        <v>3</v>
      </c>
      <c r="H35" s="48">
        <v>51</v>
      </c>
      <c r="I35" s="39">
        <f t="shared" si="0"/>
        <v>76.516666666999996</v>
      </c>
      <c r="J35" s="39">
        <f t="shared" si="1"/>
        <v>79.605555555666669</v>
      </c>
      <c r="K35" s="39">
        <v>42.6</v>
      </c>
      <c r="L35" s="2">
        <v>85.3</v>
      </c>
      <c r="M35" s="24" t="str">
        <f t="shared" si="2"/>
        <v>A1</v>
      </c>
      <c r="N35" s="25" t="str">
        <f t="shared" si="3"/>
        <v>EXCELLENT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604.38121693133337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67.153468547925925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5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5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3.0941618566621214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5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5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5</v>
      </c>
      <c r="P48" s="4"/>
    </row>
    <row r="49" spans="1:16" ht="15.75" thickBot="1" x14ac:dyDescent="0.25">
      <c r="A49" s="16" t="s">
        <v>54</v>
      </c>
      <c r="B49" s="6"/>
      <c r="C49" s="6"/>
      <c r="D49" s="6">
        <v>122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5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53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 t="s">
        <v>47</v>
      </c>
      <c r="M55" s="8"/>
      <c r="N55" s="8" t="s">
        <v>107</v>
      </c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31A0-B5FA-0E40-A41A-8D849C968E33}">
  <dimension ref="A1:Z55"/>
  <sheetViews>
    <sheetView topLeftCell="A18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5.109375" customWidth="1"/>
    <col min="5" max="5" width="4.83984375" customWidth="1"/>
    <col min="6" max="7" width="4.5703125" customWidth="1"/>
    <col min="8" max="8" width="5.6484375" customWidth="1"/>
    <col min="9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74</v>
      </c>
      <c r="B10" s="66"/>
      <c r="C10" s="66"/>
      <c r="D10" s="66"/>
      <c r="E10" s="66"/>
      <c r="F10" s="66"/>
      <c r="G10" s="66"/>
      <c r="H10" s="66"/>
      <c r="I10" s="66"/>
      <c r="J10" s="63" t="s">
        <v>73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43" t="s">
        <v>11</v>
      </c>
      <c r="B16" s="22"/>
      <c r="C16" s="22"/>
      <c r="D16" s="22"/>
      <c r="E16" s="22"/>
      <c r="F16" s="22"/>
      <c r="G16" s="23"/>
      <c r="H16" s="23"/>
      <c r="I16" s="39">
        <f t="shared" ref="I16:I37" si="0">SUM(D16:H16)</f>
        <v>0</v>
      </c>
      <c r="J16" s="39">
        <f t="shared" ref="J16:J37" si="1">SUM(B16,C16,I16)/3</f>
        <v>0</v>
      </c>
      <c r="K16" s="39"/>
      <c r="L16" s="2"/>
      <c r="M16" s="24" t="str">
        <f t="shared" ref="M16:M37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6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43" t="s">
        <v>12</v>
      </c>
      <c r="B17" s="22">
        <v>65.099999999999994</v>
      </c>
      <c r="C17" s="22">
        <v>76.400000000000006</v>
      </c>
      <c r="D17" s="52">
        <v>8.25</v>
      </c>
      <c r="E17" s="52">
        <v>3.75</v>
      </c>
      <c r="F17" s="53">
        <v>6.5</v>
      </c>
      <c r="G17" s="48">
        <v>0</v>
      </c>
      <c r="H17" s="23">
        <v>47.5</v>
      </c>
      <c r="I17" s="39">
        <f t="shared" si="0"/>
        <v>66</v>
      </c>
      <c r="J17" s="39">
        <f t="shared" si="1"/>
        <v>69.166666666666671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B3</v>
      </c>
      <c r="N17" s="25" t="str">
        <f>IF(J17&gt;=75,"EXCELLENT",IF(J17&gt;=70,"VERY GOOD",IF(J17&gt;=65,"GOOD",IF(J17&gt;=50,"CREDIT",IF(J17&gt;=40,"PASS","FAIL")))))</f>
        <v>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43" t="s">
        <v>13</v>
      </c>
      <c r="B18" s="22"/>
      <c r="C18" s="22"/>
      <c r="D18" s="22"/>
      <c r="E18" s="22"/>
      <c r="F18" s="22"/>
      <c r="G18" s="23"/>
      <c r="H18" s="23"/>
      <c r="I18" s="39"/>
      <c r="J18" s="39"/>
      <c r="K18" s="39"/>
      <c r="L18" s="2"/>
      <c r="M18" s="24" t="str">
        <f t="shared" ref="M18:M37" si="4">IF(J18&gt;=75,"A1",IF(J18&gt;=70,"B2",IF(J18&gt;=65,"B3",IF(J18&gt;=60,"C4",IF(J18&gt;=55,"C5",IF(J18&gt;=50,"C6",IF(J18&gt;=45,"D7",IF(J18&gt;=40,"E8","F9"))))))))</f>
        <v>F9</v>
      </c>
      <c r="N18" s="25" t="str">
        <f t="shared" ref="N18:N37" si="5">IF(J18&gt;=75,"EXCELLENT",IF(J18&gt;=70,"VERY GOOD",IF(J18&gt;=65,"GOOD",IF(J18&gt;=50,"CREDIT",IF(J18&gt;=40,"PASS","FAIL")))))</f>
        <v>FAIL</v>
      </c>
      <c r="O18" s="2"/>
    </row>
    <row r="19" spans="1:26" ht="15.75" thickBot="1" x14ac:dyDescent="0.25">
      <c r="A19" s="43" t="s">
        <v>14</v>
      </c>
      <c r="B19" s="22">
        <v>64.8</v>
      </c>
      <c r="C19" s="22">
        <v>52</v>
      </c>
      <c r="D19" s="52">
        <v>6</v>
      </c>
      <c r="E19" s="52">
        <v>2</v>
      </c>
      <c r="F19" s="53">
        <v>5.3333333329999997</v>
      </c>
      <c r="G19" s="52">
        <v>3</v>
      </c>
      <c r="H19" s="23">
        <v>32.5</v>
      </c>
      <c r="I19" s="39">
        <f t="shared" si="0"/>
        <v>48.833333332999999</v>
      </c>
      <c r="J19" s="39">
        <f t="shared" si="1"/>
        <v>55.211111111000001</v>
      </c>
      <c r="K19" s="39">
        <v>52.2</v>
      </c>
      <c r="L19" s="2">
        <v>75.900000000000006</v>
      </c>
      <c r="M19" s="24" t="str">
        <f t="shared" si="4"/>
        <v>C5</v>
      </c>
      <c r="N19" s="25" t="str">
        <f t="shared" si="5"/>
        <v>CREDIT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4"/>
        <v>F9</v>
      </c>
      <c r="N20" s="25" t="str">
        <f t="shared" si="5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43" t="s">
        <v>17</v>
      </c>
      <c r="B22" s="22">
        <v>46.2</v>
      </c>
      <c r="C22" s="22">
        <v>33.299999999999997</v>
      </c>
      <c r="D22" s="52">
        <v>9</v>
      </c>
      <c r="E22" s="52">
        <v>4</v>
      </c>
      <c r="F22" s="53">
        <v>4.2222222220000001</v>
      </c>
      <c r="G22" s="52">
        <v>5</v>
      </c>
      <c r="H22" s="48">
        <v>17.5</v>
      </c>
      <c r="I22" s="39">
        <f t="shared" si="0"/>
        <v>39.722222221999999</v>
      </c>
      <c r="J22" s="39">
        <f t="shared" si="1"/>
        <v>39.740740740666666</v>
      </c>
      <c r="K22" s="39">
        <v>30.3</v>
      </c>
      <c r="L22" s="2">
        <v>69.2</v>
      </c>
      <c r="M22" s="24" t="str">
        <f t="shared" si="4"/>
        <v>F9</v>
      </c>
      <c r="N22" s="25" t="str">
        <f t="shared" si="5"/>
        <v>FAIL</v>
      </c>
      <c r="O22" s="2"/>
    </row>
    <row r="23" spans="1:26" ht="15.75" thickBot="1" x14ac:dyDescent="0.25">
      <c r="A23" s="43" t="s">
        <v>18</v>
      </c>
      <c r="B23" s="22" t="s">
        <v>109</v>
      </c>
      <c r="C23" s="22">
        <v>54.1</v>
      </c>
      <c r="D23" s="52">
        <v>1</v>
      </c>
      <c r="E23" s="52">
        <v>2.5</v>
      </c>
      <c r="F23" s="53">
        <v>7.3333333329999997</v>
      </c>
      <c r="G23" s="52">
        <v>5</v>
      </c>
      <c r="H23" s="23">
        <v>23</v>
      </c>
      <c r="I23" s="39">
        <f t="shared" si="0"/>
        <v>38.833333332999999</v>
      </c>
      <c r="J23" s="39">
        <f t="shared" si="1"/>
        <v>30.97777777766667</v>
      </c>
      <c r="K23" s="39">
        <v>31.3</v>
      </c>
      <c r="L23" s="2">
        <v>58.4</v>
      </c>
      <c r="M23" s="24" t="str">
        <f t="shared" si="4"/>
        <v>F9</v>
      </c>
      <c r="N23" s="25" t="str">
        <f t="shared" si="5"/>
        <v>FAIL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/>
      <c r="J24" s="39"/>
      <c r="K24" s="39"/>
      <c r="L24" s="2"/>
      <c r="M24" s="24" t="str">
        <f t="shared" si="4"/>
        <v>F9</v>
      </c>
      <c r="N24" s="25" t="str">
        <f t="shared" si="5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/>
      <c r="J25" s="39"/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>
        <f t="shared" si="0"/>
        <v>0</v>
      </c>
      <c r="J27" s="39">
        <f t="shared" si="1"/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43" t="s">
        <v>23</v>
      </c>
      <c r="B28" s="22">
        <v>29.3</v>
      </c>
      <c r="C28" s="22">
        <v>21.6</v>
      </c>
      <c r="D28" s="52">
        <v>5.5714285710000002</v>
      </c>
      <c r="E28" s="52">
        <v>1.4166666670000001</v>
      </c>
      <c r="F28" s="53">
        <v>2.8333333330000001</v>
      </c>
      <c r="G28" s="52">
        <v>4</v>
      </c>
      <c r="H28" s="23">
        <v>8.6999999999999993</v>
      </c>
      <c r="I28" s="39">
        <f t="shared" si="0"/>
        <v>22.521428571000001</v>
      </c>
      <c r="J28" s="39">
        <f t="shared" si="1"/>
        <v>24.47380952366667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/>
      <c r="J29" s="39"/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43" t="s">
        <v>25</v>
      </c>
      <c r="B30" s="22">
        <v>29</v>
      </c>
      <c r="C30" s="22">
        <v>28</v>
      </c>
      <c r="D30" s="52">
        <v>9</v>
      </c>
      <c r="E30" s="52">
        <v>3.7</v>
      </c>
      <c r="F30" s="53">
        <v>4.8333333329999997</v>
      </c>
      <c r="G30" s="52">
        <v>4</v>
      </c>
      <c r="H30" s="48">
        <v>21.5</v>
      </c>
      <c r="I30" s="39">
        <f t="shared" si="0"/>
        <v>43.033333333000002</v>
      </c>
      <c r="J30" s="39">
        <f t="shared" si="1"/>
        <v>33.344444444333334</v>
      </c>
      <c r="K30" s="39">
        <v>33.299999999999997</v>
      </c>
      <c r="L30" s="2">
        <v>66.5</v>
      </c>
      <c r="M30" s="24" t="str">
        <f t="shared" si="4"/>
        <v>F9</v>
      </c>
      <c r="N30" s="25" t="str">
        <f t="shared" si="5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thickBot="1" x14ac:dyDescent="0.25">
      <c r="A32" s="43" t="s">
        <v>27</v>
      </c>
      <c r="B32" s="22">
        <v>55.8</v>
      </c>
      <c r="C32" s="22">
        <v>88.5</v>
      </c>
      <c r="D32" s="52">
        <v>8</v>
      </c>
      <c r="E32" s="52">
        <v>2.375</v>
      </c>
      <c r="F32" s="53">
        <v>5.5</v>
      </c>
      <c r="G32" s="52">
        <v>5</v>
      </c>
      <c r="H32" s="23">
        <v>50</v>
      </c>
      <c r="I32" s="39">
        <f t="shared" si="0"/>
        <v>70.875</v>
      </c>
      <c r="J32" s="39">
        <f t="shared" si="1"/>
        <v>71.725000000000009</v>
      </c>
      <c r="K32" s="39">
        <v>47.3</v>
      </c>
      <c r="L32" s="2">
        <v>71.900000000000006</v>
      </c>
      <c r="M32" s="24" t="str">
        <f t="shared" si="4"/>
        <v>B2</v>
      </c>
      <c r="N32" s="25" t="str">
        <f t="shared" si="5"/>
        <v>VERY GOOD</v>
      </c>
      <c r="O32" s="2"/>
    </row>
    <row r="33" spans="1:16" ht="15.75" hidden="1" thickBot="1" x14ac:dyDescent="0.25">
      <c r="A33" s="43" t="s">
        <v>28</v>
      </c>
      <c r="B33" s="22"/>
      <c r="C33" s="22"/>
      <c r="D33" s="22"/>
      <c r="E33" s="22"/>
      <c r="F33" s="22"/>
      <c r="G33" s="23"/>
      <c r="H33" s="23"/>
      <c r="I33" s="39"/>
      <c r="J33" s="39"/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/>
      <c r="J34" s="39"/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43" t="s">
        <v>30</v>
      </c>
      <c r="B35" s="48">
        <v>48.8</v>
      </c>
      <c r="C35" s="48">
        <v>57.3</v>
      </c>
      <c r="D35" s="52">
        <v>7.125</v>
      </c>
      <c r="E35" s="52">
        <v>5</v>
      </c>
      <c r="F35" s="53">
        <v>5.6666666670000003</v>
      </c>
      <c r="G35" s="52">
        <v>4</v>
      </c>
      <c r="H35" s="48">
        <v>33</v>
      </c>
      <c r="I35" s="39">
        <f t="shared" si="0"/>
        <v>54.791666667000001</v>
      </c>
      <c r="J35" s="39">
        <f t="shared" si="1"/>
        <v>53.63055555566666</v>
      </c>
      <c r="K35" s="39">
        <v>42.6</v>
      </c>
      <c r="L35" s="2">
        <v>85.3</v>
      </c>
      <c r="M35" s="24" t="str">
        <f t="shared" si="4"/>
        <v>C6</v>
      </c>
      <c r="N35" s="25" t="str">
        <f t="shared" si="5"/>
        <v>CREDIT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 t="str">
        <f t="shared" si="4"/>
        <v>F9</v>
      </c>
      <c r="N36" s="25" t="str">
        <f t="shared" si="5"/>
        <v>FAIL</v>
      </c>
      <c r="O36" s="2"/>
    </row>
    <row r="37" spans="1:16" ht="15.75" thickBot="1" x14ac:dyDescent="0.25">
      <c r="A37" s="43" t="s">
        <v>32</v>
      </c>
      <c r="B37" s="22">
        <v>81.599999999999994</v>
      </c>
      <c r="C37" s="22">
        <v>76.400000000000006</v>
      </c>
      <c r="D37" s="52">
        <v>6.5</v>
      </c>
      <c r="E37" s="52">
        <v>2.875</v>
      </c>
      <c r="F37" s="53">
        <v>7</v>
      </c>
      <c r="G37" s="52">
        <v>5</v>
      </c>
      <c r="H37" s="23">
        <v>45</v>
      </c>
      <c r="I37" s="39">
        <f t="shared" si="0"/>
        <v>66.375</v>
      </c>
      <c r="J37" s="39">
        <f t="shared" si="1"/>
        <v>74.791666666666671</v>
      </c>
      <c r="K37" s="39">
        <v>40.299999999999997</v>
      </c>
      <c r="L37" s="2">
        <v>74.8</v>
      </c>
      <c r="M37" s="24" t="str">
        <f t="shared" si="4"/>
        <v>B2</v>
      </c>
      <c r="N37" s="25" t="str">
        <f t="shared" si="5"/>
        <v>VERY GOOD</v>
      </c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453.06177248633333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50.340196942925928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2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2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2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J27*4,J28*5,J29*3,J30*3,J31*3,J32*3,J33*4,J34*3,J35*2,J37*3)/620</f>
        <v>2.1730504352247313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2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3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2</v>
      </c>
      <c r="P48" s="4"/>
    </row>
    <row r="49" spans="1:16" ht="15.75" thickBot="1" x14ac:dyDescent="0.25">
      <c r="A49" s="16" t="s">
        <v>54</v>
      </c>
      <c r="B49" s="6"/>
      <c r="C49" s="6"/>
      <c r="D49" s="6">
        <v>94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2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2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32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 ON TRIAL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8"/>
      <c r="P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FBBD-B751-9A47-8F71-2FC4AD4539EA}">
  <dimension ref="A1:Z55"/>
  <sheetViews>
    <sheetView topLeftCell="A18" workbookViewId="0">
      <selection activeCell="D53" sqref="D53:O53"/>
    </sheetView>
  </sheetViews>
  <sheetFormatPr defaultRowHeight="15" x14ac:dyDescent="0.2"/>
  <cols>
    <col min="1" max="1" width="36.859375" customWidth="1"/>
    <col min="2" max="3" width="4.5703125" bestFit="1" customWidth="1"/>
    <col min="4" max="4" width="4.5703125" customWidth="1"/>
    <col min="5" max="5" width="5.109375" customWidth="1"/>
    <col min="6" max="6" width="5.3789062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76</v>
      </c>
      <c r="B10" s="66"/>
      <c r="C10" s="66"/>
      <c r="D10" s="66"/>
      <c r="E10" s="66"/>
      <c r="F10" s="66"/>
      <c r="G10" s="66"/>
      <c r="H10" s="66"/>
      <c r="I10" s="66"/>
      <c r="J10" s="63" t="s">
        <v>75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43" t="s">
        <v>11</v>
      </c>
      <c r="B16" s="22"/>
      <c r="C16" s="22"/>
      <c r="D16" s="48"/>
      <c r="E16" s="48"/>
      <c r="F16" s="48"/>
      <c r="G16" s="48"/>
      <c r="H16" s="48"/>
      <c r="I16" s="39">
        <f t="shared" ref="I16:I37" si="0">SUM(D16:H16)</f>
        <v>0</v>
      </c>
      <c r="J16" s="39">
        <f t="shared" ref="J16:J37" si="1">SUM(B16,C16,I16)/3</f>
        <v>0</v>
      </c>
      <c r="K16" s="39"/>
      <c r="L16" s="2"/>
      <c r="M16" s="24" t="str">
        <f t="shared" ref="M16:M37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6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43" t="s">
        <v>12</v>
      </c>
      <c r="B17" s="22">
        <v>59.5</v>
      </c>
      <c r="C17" s="22">
        <v>68.900000000000006</v>
      </c>
      <c r="D17" s="52">
        <v>10</v>
      </c>
      <c r="E17" s="52">
        <v>3.75</v>
      </c>
      <c r="F17" s="53">
        <v>5.5</v>
      </c>
      <c r="G17" s="52">
        <v>5</v>
      </c>
      <c r="H17" s="23">
        <v>46</v>
      </c>
      <c r="I17" s="39">
        <f t="shared" si="0"/>
        <v>70.25</v>
      </c>
      <c r="J17" s="39">
        <f t="shared" si="1"/>
        <v>66.216666666666669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B3</v>
      </c>
      <c r="N17" s="25" t="str">
        <f>IF(J17&gt;=75,"EXCELLENT",IF(J17&gt;=70,"VERY GOOD",IF(J17&gt;=65,"GOOD",IF(J17&gt;=50,"CREDIT",IF(J17&gt;=40,"PASS","FAIL")))))</f>
        <v>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43" t="s">
        <v>13</v>
      </c>
      <c r="B18" s="22"/>
      <c r="C18" s="22"/>
      <c r="D18" s="22"/>
      <c r="E18" s="22"/>
      <c r="F18" s="22"/>
      <c r="G18" s="23"/>
      <c r="H18" s="23"/>
      <c r="I18" s="39"/>
      <c r="J18" s="39"/>
      <c r="K18" s="39"/>
      <c r="L18" s="2"/>
      <c r="M18" s="24" t="str">
        <f t="shared" ref="M18:M37" si="4">IF(J18&gt;=75,"A1",IF(J18&gt;=70,"B2",IF(J18&gt;=65,"B3",IF(J18&gt;=60,"C4",IF(J18&gt;=55,"C5",IF(J18&gt;=50,"C6",IF(J18&gt;=45,"D7",IF(J18&gt;=40,"E8","F9"))))))))</f>
        <v>F9</v>
      </c>
      <c r="N18" s="25" t="str">
        <f t="shared" ref="N18:N37" si="5">IF(J18&gt;=75,"EXCELLENT",IF(J18&gt;=70,"VERY GOOD",IF(J18&gt;=65,"GOOD",IF(J18&gt;=50,"CREDIT",IF(J18&gt;=40,"PASS","FAIL")))))</f>
        <v>FAIL</v>
      </c>
      <c r="O18" s="2"/>
    </row>
    <row r="19" spans="1:26" ht="15.75" thickBot="1" x14ac:dyDescent="0.25">
      <c r="A19" s="43" t="s">
        <v>14</v>
      </c>
      <c r="B19" s="22">
        <v>61.1</v>
      </c>
      <c r="C19" s="22">
        <v>63</v>
      </c>
      <c r="D19" s="52">
        <v>6.4</v>
      </c>
      <c r="E19" s="52">
        <v>1.875</v>
      </c>
      <c r="F19" s="53">
        <v>4.75</v>
      </c>
      <c r="G19" s="52">
        <v>2</v>
      </c>
      <c r="H19" s="23">
        <v>29.5</v>
      </c>
      <c r="I19" s="39">
        <f t="shared" si="0"/>
        <v>44.524999999999999</v>
      </c>
      <c r="J19" s="39">
        <f t="shared" si="1"/>
        <v>56.208333333333336</v>
      </c>
      <c r="K19" s="39">
        <v>52.2</v>
      </c>
      <c r="L19" s="2">
        <v>75.900000000000006</v>
      </c>
      <c r="M19" s="24" t="str">
        <f t="shared" si="4"/>
        <v>C5</v>
      </c>
      <c r="N19" s="25" t="str">
        <f t="shared" si="5"/>
        <v>CREDIT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4"/>
        <v>F9</v>
      </c>
      <c r="N20" s="25" t="str">
        <f t="shared" si="5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43" t="s">
        <v>17</v>
      </c>
      <c r="B22" s="22">
        <v>25.8</v>
      </c>
      <c r="C22" s="22">
        <v>35.5</v>
      </c>
      <c r="D22" s="52">
        <v>5.75</v>
      </c>
      <c r="E22" s="52">
        <v>2.5</v>
      </c>
      <c r="F22" s="53">
        <v>4.6666666670000003</v>
      </c>
      <c r="G22" s="52">
        <v>5</v>
      </c>
      <c r="H22" s="48">
        <v>19.5</v>
      </c>
      <c r="I22" s="39">
        <f t="shared" si="0"/>
        <v>37.416666667000001</v>
      </c>
      <c r="J22" s="39">
        <f t="shared" si="1"/>
        <v>32.905555555666666</v>
      </c>
      <c r="K22" s="39">
        <v>30.3</v>
      </c>
      <c r="L22" s="2">
        <v>69.2</v>
      </c>
      <c r="M22" s="24" t="str">
        <f t="shared" si="4"/>
        <v>F9</v>
      </c>
      <c r="N22" s="25" t="str">
        <f t="shared" si="5"/>
        <v>FAIL</v>
      </c>
      <c r="O22" s="2"/>
    </row>
    <row r="23" spans="1:26" ht="15.75" thickBot="1" x14ac:dyDescent="0.25">
      <c r="A23" s="43" t="s">
        <v>18</v>
      </c>
      <c r="B23" s="22">
        <v>46.3</v>
      </c>
      <c r="C23" s="22">
        <v>42.3</v>
      </c>
      <c r="D23" s="52">
        <v>8</v>
      </c>
      <c r="E23" s="52">
        <v>3.5</v>
      </c>
      <c r="F23" s="53">
        <v>2.6666666669999999</v>
      </c>
      <c r="G23" s="52">
        <v>5</v>
      </c>
      <c r="H23" s="23">
        <v>24</v>
      </c>
      <c r="I23" s="39">
        <f t="shared" si="0"/>
        <v>43.166666667000001</v>
      </c>
      <c r="J23" s="39">
        <f t="shared" si="1"/>
        <v>43.922222222333325</v>
      </c>
      <c r="K23" s="39">
        <v>31.3</v>
      </c>
      <c r="L23" s="2">
        <v>58.4</v>
      </c>
      <c r="M23" s="24" t="str">
        <f t="shared" si="4"/>
        <v>E8</v>
      </c>
      <c r="N23" s="25" t="str">
        <f t="shared" si="5"/>
        <v>PASS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/>
      <c r="J24" s="39"/>
      <c r="K24" s="39"/>
      <c r="L24" s="2"/>
      <c r="M24" s="24" t="str">
        <f t="shared" si="4"/>
        <v>F9</v>
      </c>
      <c r="N24" s="25" t="str">
        <f t="shared" si="5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/>
      <c r="J25" s="39"/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>
        <f t="shared" si="0"/>
        <v>0</v>
      </c>
      <c r="J27" s="39">
        <f t="shared" si="1"/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43" t="s">
        <v>23</v>
      </c>
      <c r="B28" s="22">
        <v>29.8</v>
      </c>
      <c r="C28" s="22">
        <v>23.3</v>
      </c>
      <c r="D28" s="52">
        <v>6.7857142860000002</v>
      </c>
      <c r="E28" s="52">
        <v>2.5416666669999999</v>
      </c>
      <c r="F28" s="53">
        <v>2.5</v>
      </c>
      <c r="G28" s="52">
        <v>5</v>
      </c>
      <c r="H28" s="23">
        <v>11.5</v>
      </c>
      <c r="I28" s="39">
        <f t="shared" si="0"/>
        <v>28.327380953000002</v>
      </c>
      <c r="J28" s="39">
        <f t="shared" si="1"/>
        <v>27.142460317666671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/>
      <c r="J29" s="39"/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43" t="s">
        <v>25</v>
      </c>
      <c r="B30" s="22">
        <v>43</v>
      </c>
      <c r="C30" s="22">
        <v>40</v>
      </c>
      <c r="D30" s="52"/>
      <c r="E30" s="52"/>
      <c r="F30" s="53"/>
      <c r="G30" s="52"/>
      <c r="H30" s="48"/>
      <c r="I30" s="39">
        <f t="shared" si="0"/>
        <v>0</v>
      </c>
      <c r="J30" s="39">
        <f>SUM(B30,C30,I30)/2</f>
        <v>41.5</v>
      </c>
      <c r="K30" s="39">
        <v>33.299999999999997</v>
      </c>
      <c r="L30" s="2">
        <v>66.5</v>
      </c>
      <c r="M30" s="24" t="str">
        <f t="shared" si="4"/>
        <v>E8</v>
      </c>
      <c r="N30" s="25" t="str">
        <f t="shared" si="5"/>
        <v>PASS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thickBot="1" x14ac:dyDescent="0.25">
      <c r="A32" s="43" t="s">
        <v>27</v>
      </c>
      <c r="B32" s="22">
        <v>55.1</v>
      </c>
      <c r="C32" s="22">
        <v>47.6</v>
      </c>
      <c r="D32" s="52">
        <v>5.2</v>
      </c>
      <c r="E32" s="52">
        <v>2.2000000000000002</v>
      </c>
      <c r="F32" s="53">
        <v>2.8333333330000001</v>
      </c>
      <c r="G32" s="52">
        <v>3</v>
      </c>
      <c r="H32" s="23">
        <v>26</v>
      </c>
      <c r="I32" s="39">
        <f t="shared" si="0"/>
        <v>39.233333333000004</v>
      </c>
      <c r="J32" s="39">
        <f t="shared" si="1"/>
        <v>47.311111111000002</v>
      </c>
      <c r="K32" s="39">
        <v>47.3</v>
      </c>
      <c r="L32" s="2">
        <v>71.900000000000006</v>
      </c>
      <c r="M32" s="24" t="str">
        <f t="shared" si="4"/>
        <v>D7</v>
      </c>
      <c r="N32" s="25" t="str">
        <f t="shared" si="5"/>
        <v>PASS</v>
      </c>
      <c r="O32" s="2"/>
    </row>
    <row r="33" spans="1:16" ht="15.75" hidden="1" thickBot="1" x14ac:dyDescent="0.25">
      <c r="A33" s="43" t="s">
        <v>28</v>
      </c>
      <c r="B33" s="22"/>
      <c r="C33" s="22"/>
      <c r="D33" s="22"/>
      <c r="E33" s="22"/>
      <c r="F33" s="22"/>
      <c r="G33" s="23"/>
      <c r="H33" s="23"/>
      <c r="I33" s="39"/>
      <c r="J33" s="39"/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/>
      <c r="J34" s="39"/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43" t="s">
        <v>30</v>
      </c>
      <c r="B35" s="22">
        <v>64.900000000000006</v>
      </c>
      <c r="C35" s="22">
        <v>69.5</v>
      </c>
      <c r="D35" s="52"/>
      <c r="E35" s="52"/>
      <c r="F35" s="53"/>
      <c r="G35" s="52"/>
      <c r="H35" s="48"/>
      <c r="I35" s="39">
        <f t="shared" si="0"/>
        <v>0</v>
      </c>
      <c r="J35" s="39">
        <f>SUM(B35,C35,I35)/2</f>
        <v>67.2</v>
      </c>
      <c r="K35" s="39">
        <v>42.6</v>
      </c>
      <c r="L35" s="2">
        <v>85.3</v>
      </c>
      <c r="M35" s="24" t="str">
        <f t="shared" si="4"/>
        <v>B3</v>
      </c>
      <c r="N35" s="25" t="str">
        <f t="shared" si="5"/>
        <v>GOOD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 t="str">
        <f t="shared" si="4"/>
        <v>F9</v>
      </c>
      <c r="N36" s="25" t="str">
        <f t="shared" si="5"/>
        <v>FAIL</v>
      </c>
      <c r="O36" s="2"/>
    </row>
    <row r="37" spans="1:16" ht="15.75" thickBot="1" x14ac:dyDescent="0.25">
      <c r="A37" s="43" t="s">
        <v>32</v>
      </c>
      <c r="B37" s="22">
        <v>73.8</v>
      </c>
      <c r="C37" s="22">
        <v>75.3</v>
      </c>
      <c r="D37" s="52">
        <v>4</v>
      </c>
      <c r="E37" s="52">
        <v>0.75</v>
      </c>
      <c r="F37" s="53">
        <v>7.3333333329999997</v>
      </c>
      <c r="G37" s="48">
        <v>0</v>
      </c>
      <c r="H37" s="23">
        <v>51.5</v>
      </c>
      <c r="I37" s="39">
        <f t="shared" si="0"/>
        <v>63.583333332999999</v>
      </c>
      <c r="J37" s="39">
        <f t="shared" si="1"/>
        <v>70.894444444333331</v>
      </c>
      <c r="K37" s="39">
        <v>40.299999999999997</v>
      </c>
      <c r="L37" s="2">
        <v>74.8</v>
      </c>
      <c r="M37" s="24" t="str">
        <f t="shared" si="4"/>
        <v>B2</v>
      </c>
      <c r="N37" s="25" t="str">
        <f t="shared" si="5"/>
        <v>VERY GOOD</v>
      </c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453.30079365099994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2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50.366754850111107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2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2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J27*4,J28*5,J29*3,J30*3,J31*3,J32*3,J33*4,J34*3,J35*2,J37*3)/620</f>
        <v>2.207443676397312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3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5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2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3</v>
      </c>
      <c r="P48" s="4"/>
    </row>
    <row r="49" spans="1:16" ht="15.75" thickBot="1" x14ac:dyDescent="0.25">
      <c r="A49" s="16" t="s">
        <v>54</v>
      </c>
      <c r="B49" s="6"/>
      <c r="C49" s="6"/>
      <c r="D49" s="6">
        <v>94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2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2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33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 ON TRIAL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/>
      <c r="N55" s="8" t="s">
        <v>47</v>
      </c>
      <c r="O55" s="8" t="s">
        <v>107</v>
      </c>
      <c r="P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3930-D64B-2B4B-821D-10A77DA242E1}">
  <dimension ref="A1:Z55"/>
  <sheetViews>
    <sheetView topLeftCell="A16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5703125" customWidth="1"/>
    <col min="5" max="5" width="4.83984375" customWidth="1"/>
    <col min="6" max="6" width="5.3789062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78</v>
      </c>
      <c r="B10" s="66"/>
      <c r="C10" s="66"/>
      <c r="D10" s="66"/>
      <c r="E10" s="66"/>
      <c r="F10" s="66"/>
      <c r="G10" s="66"/>
      <c r="H10" s="66"/>
      <c r="I10" s="66"/>
      <c r="J10" s="63" t="s">
        <v>77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thickBot="1" x14ac:dyDescent="0.25">
      <c r="A15" s="21" t="s">
        <v>8</v>
      </c>
      <c r="B15" s="22">
        <v>70.2</v>
      </c>
      <c r="C15" s="22">
        <v>72.2</v>
      </c>
      <c r="D15" s="52">
        <v>9</v>
      </c>
      <c r="E15" s="52">
        <v>5</v>
      </c>
      <c r="F15" s="53">
        <v>8</v>
      </c>
      <c r="G15" s="52">
        <v>4</v>
      </c>
      <c r="H15" s="23">
        <v>51</v>
      </c>
      <c r="I15" s="39">
        <f>SUM(D15:H15)</f>
        <v>77</v>
      </c>
      <c r="J15" s="39">
        <f>SUM(B15,C15,I15)/3</f>
        <v>73.13333333333334</v>
      </c>
      <c r="K15" s="39"/>
      <c r="L15" s="24"/>
      <c r="M15" s="24" t="str">
        <f>IF(J15&gt;=75,"A1",IF(J15&gt;=70,"B2",IF(J15&gt;=65,"B3",IF(J15&gt;=60,"C4",IF(J15&gt;=55,"C5",IF(J15&gt;=50,"C6",IF(J15&gt;=45,"D7",IF(J15&gt;=40,"E8","F9"))))))))</f>
        <v>B2</v>
      </c>
      <c r="N15" s="25" t="str">
        <f>IF(J15&gt;=75,"EXCELLENT",IF(J15&gt;=70,"VERY GOOD",IF(J15&gt;=65,"GOOD",IF(J15&gt;=50,"CREDIT",IF(J15&gt;=40,"PASS","FAIL")))))</f>
        <v>VERY GOOD</v>
      </c>
      <c r="O15" s="25"/>
    </row>
    <row r="16" spans="1:15" ht="15.75" thickBot="1" x14ac:dyDescent="0.25">
      <c r="A16" s="43" t="s">
        <v>11</v>
      </c>
      <c r="B16" s="22">
        <v>65.5</v>
      </c>
      <c r="C16" s="22">
        <v>79.400000000000006</v>
      </c>
      <c r="D16" s="52">
        <v>6</v>
      </c>
      <c r="E16" s="52">
        <v>4.5999999999999996</v>
      </c>
      <c r="F16" s="53">
        <v>6.6666666670000003</v>
      </c>
      <c r="G16" s="52">
        <v>5</v>
      </c>
      <c r="H16" s="48">
        <v>50</v>
      </c>
      <c r="I16" s="39">
        <f t="shared" ref="I16:I35" si="0">SUM(D16:H16)</f>
        <v>72.266666666999996</v>
      </c>
      <c r="J16" s="39">
        <f t="shared" ref="J16:J35" si="1">SUM(B16,C16,I16)/3</f>
        <v>72.388888889</v>
      </c>
      <c r="K16" s="39">
        <v>40.700000000000003</v>
      </c>
      <c r="L16" s="2">
        <v>80.2</v>
      </c>
      <c r="M16" s="24" t="str">
        <f t="shared" ref="M16:M35" si="2">IF(J16&gt;=75,"A1",IF(J16&gt;=70,"B2",IF(J16&gt;=65,"B3",IF(J16&gt;=60,"C4",IF(J16&gt;=55,"C5",IF(J16&gt;=50,"C6",IF(J16&gt;=45,"D7",IF(J16&gt;=40,"E8","F9"))))))))</f>
        <v>B2</v>
      </c>
      <c r="N16" s="25" t="str">
        <f t="shared" ref="N16:N35" si="3">IF(J16&gt;=75,"EXCELLENT",IF(J16&gt;=70,"VERY GOOD",IF(J16&gt;=65,"GOOD",IF(J16&gt;=50,"CREDIT",IF(J16&gt;=40,"PASS","FAIL")))))</f>
        <v>VERY GOOD</v>
      </c>
      <c r="O16" s="2"/>
    </row>
    <row r="17" spans="1:26" ht="15.75" thickBot="1" x14ac:dyDescent="0.25">
      <c r="A17" s="43" t="s">
        <v>12</v>
      </c>
      <c r="B17" s="22">
        <v>69.599999999999994</v>
      </c>
      <c r="C17" s="22">
        <v>76.900000000000006</v>
      </c>
      <c r="D17" s="52">
        <v>9.6</v>
      </c>
      <c r="E17" s="52">
        <v>4</v>
      </c>
      <c r="F17" s="53">
        <v>8.4166666669999994</v>
      </c>
      <c r="G17" s="52">
        <v>5</v>
      </c>
      <c r="H17" s="23">
        <v>49</v>
      </c>
      <c r="I17" s="39">
        <f t="shared" si="0"/>
        <v>76.016666666999996</v>
      </c>
      <c r="J17" s="39">
        <f t="shared" si="1"/>
        <v>74.172222222333332</v>
      </c>
      <c r="K17" s="39">
        <v>48.3</v>
      </c>
      <c r="L17" s="2">
        <v>88.3</v>
      </c>
      <c r="M17" s="24" t="str">
        <f t="shared" si="2"/>
        <v>B2</v>
      </c>
      <c r="N17" s="25" t="str">
        <f t="shared" si="3"/>
        <v>VERY 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GOOD</v>
      </c>
    </row>
    <row r="18" spans="1:26" ht="15.75" thickBot="1" x14ac:dyDescent="0.25">
      <c r="A18" s="43" t="s">
        <v>13</v>
      </c>
      <c r="B18" s="22">
        <v>63.6</v>
      </c>
      <c r="C18" s="22">
        <v>57.7</v>
      </c>
      <c r="D18" s="52">
        <v>8.6</v>
      </c>
      <c r="E18" s="52">
        <v>4.8</v>
      </c>
      <c r="F18" s="53">
        <v>6.5833333329999997</v>
      </c>
      <c r="G18" s="52">
        <v>4</v>
      </c>
      <c r="H18" s="23">
        <v>40</v>
      </c>
      <c r="I18" s="39">
        <f t="shared" si="0"/>
        <v>63.983333332999997</v>
      </c>
      <c r="J18" s="39">
        <f t="shared" si="1"/>
        <v>61.761111110999998</v>
      </c>
      <c r="K18" s="39">
        <v>37.700000000000003</v>
      </c>
      <c r="L18" s="2">
        <v>82.4</v>
      </c>
      <c r="M18" s="24" t="str">
        <f t="shared" si="2"/>
        <v>C4</v>
      </c>
      <c r="N18" s="25" t="str">
        <f t="shared" si="3"/>
        <v>CREDIT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/>
      <c r="J19" s="39"/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47</v>
      </c>
      <c r="C22" s="22">
        <v>47.2</v>
      </c>
      <c r="D22" s="52">
        <v>9.6</v>
      </c>
      <c r="E22" s="52">
        <v>5</v>
      </c>
      <c r="F22" s="53">
        <v>7.5555555559999998</v>
      </c>
      <c r="G22" s="52">
        <v>5</v>
      </c>
      <c r="H22" s="48">
        <v>45</v>
      </c>
      <c r="I22" s="39">
        <f t="shared" si="0"/>
        <v>72.155555555999996</v>
      </c>
      <c r="J22" s="39">
        <f t="shared" si="1"/>
        <v>55.451851852000004</v>
      </c>
      <c r="K22" s="39">
        <v>30.3</v>
      </c>
      <c r="L22" s="2">
        <v>69.2</v>
      </c>
      <c r="M22" s="24" t="str">
        <f t="shared" si="2"/>
        <v>C5</v>
      </c>
      <c r="N22" s="25" t="str">
        <f t="shared" si="3"/>
        <v>CREDIT</v>
      </c>
      <c r="O22" s="2"/>
    </row>
    <row r="23" spans="1:26" ht="15.75" thickBot="1" x14ac:dyDescent="0.25">
      <c r="A23" s="43" t="s">
        <v>18</v>
      </c>
      <c r="B23" s="22">
        <v>50</v>
      </c>
      <c r="C23" s="22">
        <v>52.8</v>
      </c>
      <c r="D23" s="52">
        <v>6</v>
      </c>
      <c r="E23" s="52">
        <v>3</v>
      </c>
      <c r="F23" s="53">
        <v>6</v>
      </c>
      <c r="G23" s="52">
        <v>5</v>
      </c>
      <c r="H23" s="23">
        <v>30</v>
      </c>
      <c r="I23" s="39">
        <f t="shared" si="0"/>
        <v>50</v>
      </c>
      <c r="J23" s="39">
        <f t="shared" si="1"/>
        <v>50.933333333333337</v>
      </c>
      <c r="K23" s="39">
        <v>31.3</v>
      </c>
      <c r="L23" s="2">
        <v>58.4</v>
      </c>
      <c r="M23" s="24" t="str">
        <f t="shared" si="2"/>
        <v>C6</v>
      </c>
      <c r="N23" s="25" t="str">
        <f t="shared" si="3"/>
        <v>CREDIT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/>
      <c r="J24" s="39"/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/>
      <c r="J25" s="39"/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/>
      <c r="J27" s="39"/>
      <c r="K27" s="39"/>
      <c r="L27" s="2"/>
      <c r="M27" s="24" t="str">
        <f t="shared" si="2"/>
        <v>F9</v>
      </c>
      <c r="N27" s="25" t="str">
        <f t="shared" si="3"/>
        <v>FAIL</v>
      </c>
      <c r="O27" s="2"/>
    </row>
    <row r="28" spans="1:26" ht="15.75" thickBot="1" x14ac:dyDescent="0.25">
      <c r="A28" s="43" t="s">
        <v>23</v>
      </c>
      <c r="B28" s="22">
        <v>45</v>
      </c>
      <c r="C28" s="22">
        <v>40</v>
      </c>
      <c r="D28" s="52">
        <v>7.7142857139999998</v>
      </c>
      <c r="E28" s="52">
        <v>2.2916666669999999</v>
      </c>
      <c r="F28" s="53">
        <v>6.5</v>
      </c>
      <c r="G28" s="52">
        <v>5</v>
      </c>
      <c r="H28" s="23">
        <v>21.8</v>
      </c>
      <c r="I28" s="39">
        <f t="shared" si="0"/>
        <v>43.305952380999997</v>
      </c>
      <c r="J28" s="39">
        <f t="shared" si="1"/>
        <v>42.768650793666666</v>
      </c>
      <c r="K28" s="39"/>
      <c r="L28" s="2"/>
      <c r="M28" s="24" t="str">
        <f t="shared" si="2"/>
        <v>E8</v>
      </c>
      <c r="N28" s="25" t="str">
        <f t="shared" si="3"/>
        <v>PASS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>
        <f t="shared" si="0"/>
        <v>0</v>
      </c>
      <c r="J29" s="39">
        <f t="shared" si="1"/>
        <v>0</v>
      </c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/>
      <c r="J30" s="39"/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/>
      <c r="J32" s="39"/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41.6</v>
      </c>
      <c r="C33" s="22">
        <v>23.8</v>
      </c>
      <c r="D33" s="52">
        <v>7.5</v>
      </c>
      <c r="E33" s="52">
        <v>2.8333333330000001</v>
      </c>
      <c r="F33" s="53">
        <v>1.1666666670000001</v>
      </c>
      <c r="G33" s="52">
        <v>5</v>
      </c>
      <c r="H33" s="23">
        <v>28.4</v>
      </c>
      <c r="I33" s="39">
        <f t="shared" si="0"/>
        <v>44.9</v>
      </c>
      <c r="J33" s="39">
        <f t="shared" si="1"/>
        <v>36.766666666666673</v>
      </c>
      <c r="K33" s="39"/>
      <c r="L33" s="2"/>
      <c r="M33" s="24" t="str">
        <f t="shared" si="2"/>
        <v>F9</v>
      </c>
      <c r="N33" s="25" t="str">
        <f t="shared" si="3"/>
        <v>FAIL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/>
      <c r="J34" s="39"/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71.400000000000006</v>
      </c>
      <c r="C35" s="22">
        <v>62.7</v>
      </c>
      <c r="D35" s="52">
        <v>7.2</v>
      </c>
      <c r="E35" s="52">
        <v>4.9000000000000004</v>
      </c>
      <c r="F35" s="53">
        <v>5.9166666670000003</v>
      </c>
      <c r="G35" s="52">
        <v>4</v>
      </c>
      <c r="H35" s="48">
        <v>48</v>
      </c>
      <c r="I35" s="39">
        <f t="shared" si="0"/>
        <v>70.01666666700001</v>
      </c>
      <c r="J35" s="39">
        <f t="shared" si="1"/>
        <v>68.038888889000006</v>
      </c>
      <c r="K35" s="39">
        <v>42.6</v>
      </c>
      <c r="L35" s="2">
        <v>85.3</v>
      </c>
      <c r="M35" s="24" t="str">
        <f t="shared" si="2"/>
        <v>B3</v>
      </c>
      <c r="N35" s="25" t="str">
        <f t="shared" si="3"/>
        <v>GOOD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535.41494709033327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59.490549676703694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5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2.7611429773944445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4</v>
      </c>
      <c r="P48" s="4"/>
    </row>
    <row r="49" spans="1:16" ht="15.75" thickBot="1" x14ac:dyDescent="0.25">
      <c r="A49" s="16" t="s">
        <v>54</v>
      </c>
      <c r="B49" s="6"/>
      <c r="C49" s="6"/>
      <c r="D49" s="6">
        <v>122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4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46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/>
      <c r="N55" s="8" t="s">
        <v>47</v>
      </c>
      <c r="O55" s="8" t="s">
        <v>107</v>
      </c>
      <c r="P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91B7-9251-E84B-A64A-2BC771883A5D}">
  <dimension ref="A1:Z55"/>
  <sheetViews>
    <sheetView topLeftCell="A13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5.37890625" customWidth="1"/>
    <col min="5" max="5" width="5.109375" customWidth="1"/>
    <col min="6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80</v>
      </c>
      <c r="B10" s="66"/>
      <c r="C10" s="66"/>
      <c r="D10" s="66"/>
      <c r="E10" s="66"/>
      <c r="F10" s="66"/>
      <c r="G10" s="66"/>
      <c r="H10" s="66"/>
      <c r="I10" s="66"/>
      <c r="J10" s="63" t="s">
        <v>79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>
        <f>SUM(D15:H15)</f>
        <v>0</v>
      </c>
      <c r="J15" s="39">
        <f>SUM(B15,C15,I15)/3</f>
        <v>0</v>
      </c>
      <c r="K15" s="39"/>
      <c r="L15" s="24"/>
      <c r="M15" s="24" t="str">
        <f>IF(J15&gt;=89.5,"A1",IF(J15&gt;=79.5,"B2",IF(J15&gt;=69.5,"B3",IF(J15&gt;=59.5,"C4",IF(J15&gt;=54.5,"C5",IF(J15&gt;=49.5,"C6",IF(J15&gt;=44.5,"D7",IF(J15&gt;=39.5,"E8","F"))))))))</f>
        <v>F</v>
      </c>
      <c r="N15" s="25" t="str">
        <f>IF(J15&gt;=89.5,"EXCELLENT",IF(J15&gt;=79.5,"VERY GOOD",IF(J15&gt;=69.5,"GOOD",IF(J15&gt;=59.5,"CREDIT",IF(J15&gt;=54.5,"CREDIT",IF(J15&gt;=49.5,"CREDIT",IF(J15&gt;=44.5,"PASS",IF(J15&gt;=39.5,"PASS","FAIL"))))))))</f>
        <v>FAIL</v>
      </c>
      <c r="O15" s="25"/>
    </row>
    <row r="16" spans="1:15" ht="15.75" thickBot="1" x14ac:dyDescent="0.25">
      <c r="A16" s="43" t="s">
        <v>11</v>
      </c>
      <c r="B16" s="22">
        <v>72.099999999999994</v>
      </c>
      <c r="C16" s="22">
        <v>80.3</v>
      </c>
      <c r="D16" s="52">
        <v>8.875</v>
      </c>
      <c r="E16" s="52">
        <v>4.6500000000000004</v>
      </c>
      <c r="F16" s="53">
        <v>8.0833333330000006</v>
      </c>
      <c r="G16" s="52">
        <v>5</v>
      </c>
      <c r="H16" s="48">
        <v>50</v>
      </c>
      <c r="I16" s="39">
        <f t="shared" ref="I16:I37" si="0">SUM(D16:H16)</f>
        <v>76.608333333000004</v>
      </c>
      <c r="J16" s="39">
        <f t="shared" ref="J16:J37" si="1">SUM(B16,C16,I16)/3</f>
        <v>76.336111110999994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A1</v>
      </c>
      <c r="N16" s="25" t="str">
        <f>IF(J16&gt;=75,"EXCELLENT",IF(J16&gt;=70,"VERY GOOD",IF(J16&gt;=65,"GOOD",IF(J16&gt;=50,"CREDIT",IF(J16&gt;=40,"PASS","FAIL")))))</f>
        <v>EXCELLENT</v>
      </c>
      <c r="O16" s="2"/>
    </row>
    <row r="17" spans="1:26" ht="15.75" thickBot="1" x14ac:dyDescent="0.25">
      <c r="A17" s="43" t="s">
        <v>12</v>
      </c>
      <c r="B17" s="22">
        <v>86</v>
      </c>
      <c r="C17" s="22">
        <v>82.7</v>
      </c>
      <c r="D17" s="52">
        <v>7.5</v>
      </c>
      <c r="E17" s="52">
        <v>3.75</v>
      </c>
      <c r="F17" s="53">
        <v>6</v>
      </c>
      <c r="G17" s="52">
        <v>5</v>
      </c>
      <c r="H17" s="23">
        <v>54.5</v>
      </c>
      <c r="I17" s="39">
        <f t="shared" si="0"/>
        <v>76.75</v>
      </c>
      <c r="J17" s="39">
        <f t="shared" si="1"/>
        <v>81.816666666666663</v>
      </c>
      <c r="K17" s="39">
        <v>48.3</v>
      </c>
      <c r="L17" s="2">
        <v>88.3</v>
      </c>
      <c r="M17" s="24" t="str">
        <f t="shared" ref="M17:M35" si="2">IF(J17&gt;=75,"A1",IF(J17&gt;=70,"B2",IF(J17&gt;=65,"B3",IF(J17&gt;=60,"C4",IF(J17&gt;=55,"C5",IF(J17&gt;=50,"C6",IF(J17&gt;=45,"D7",IF(J17&gt;=40,"E8","F9"))))))))</f>
        <v>A1</v>
      </c>
      <c r="N17" s="25" t="str">
        <f t="shared" ref="N17:N35" si="3"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43" t="s">
        <v>13</v>
      </c>
      <c r="B18" s="22">
        <v>62.5</v>
      </c>
      <c r="C18" s="22">
        <v>75.900000000000006</v>
      </c>
      <c r="D18" s="52">
        <v>8.6</v>
      </c>
      <c r="E18" s="52">
        <v>4.5999999999999996</v>
      </c>
      <c r="F18" s="53">
        <v>7.6666666670000003</v>
      </c>
      <c r="G18" s="52">
        <v>4</v>
      </c>
      <c r="H18" s="23">
        <v>49</v>
      </c>
      <c r="I18" s="39">
        <f t="shared" si="0"/>
        <v>73.866666667000004</v>
      </c>
      <c r="J18" s="39">
        <f t="shared" si="1"/>
        <v>70.755555555666675</v>
      </c>
      <c r="K18" s="39">
        <v>37.700000000000003</v>
      </c>
      <c r="L18" s="2">
        <v>82.4</v>
      </c>
      <c r="M18" s="24" t="str">
        <f t="shared" si="2"/>
        <v>B2</v>
      </c>
      <c r="N18" s="25" t="str">
        <f t="shared" si="3"/>
        <v>VERY GOOD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/>
      <c r="J19" s="39"/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76.7</v>
      </c>
      <c r="C22" s="22">
        <v>58.4</v>
      </c>
      <c r="D22" s="52">
        <v>9</v>
      </c>
      <c r="E22" s="52">
        <v>5</v>
      </c>
      <c r="F22" s="53">
        <v>7.5555555559999998</v>
      </c>
      <c r="G22" s="52">
        <v>5</v>
      </c>
      <c r="H22" s="48">
        <v>42.5</v>
      </c>
      <c r="I22" s="39">
        <f t="shared" si="0"/>
        <v>69.055555556000002</v>
      </c>
      <c r="J22" s="39">
        <f t="shared" si="1"/>
        <v>68.051851851999999</v>
      </c>
      <c r="K22" s="39">
        <v>30.3</v>
      </c>
      <c r="L22" s="2">
        <v>69.2</v>
      </c>
      <c r="M22" s="24" t="str">
        <f t="shared" si="2"/>
        <v>B3</v>
      </c>
      <c r="N22" s="25" t="str">
        <f t="shared" si="3"/>
        <v>GOOD</v>
      </c>
      <c r="O22" s="2"/>
    </row>
    <row r="23" spans="1:26" ht="15.75" thickBot="1" x14ac:dyDescent="0.25">
      <c r="A23" s="43" t="s">
        <v>18</v>
      </c>
      <c r="B23" s="22">
        <v>48.8</v>
      </c>
      <c r="C23" s="22">
        <v>40.5</v>
      </c>
      <c r="D23" s="52">
        <v>8</v>
      </c>
      <c r="E23" s="52">
        <v>3.5</v>
      </c>
      <c r="F23" s="53">
        <v>8</v>
      </c>
      <c r="G23" s="52">
        <v>5</v>
      </c>
      <c r="H23" s="23">
        <v>33</v>
      </c>
      <c r="I23" s="39">
        <f t="shared" si="0"/>
        <v>57.5</v>
      </c>
      <c r="J23" s="39">
        <f t="shared" si="1"/>
        <v>48.933333333333337</v>
      </c>
      <c r="K23" s="39">
        <v>31.3</v>
      </c>
      <c r="L23" s="2">
        <v>58.4</v>
      </c>
      <c r="M23" s="24" t="str">
        <f t="shared" si="2"/>
        <v>D7</v>
      </c>
      <c r="N23" s="25" t="str">
        <f t="shared" si="3"/>
        <v>PASS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>
        <f>SUM(D24:H24)</f>
        <v>0</v>
      </c>
      <c r="J24" s="39"/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>
        <f>SUM(D25:H25)</f>
        <v>0</v>
      </c>
      <c r="J25" s="39"/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>SUM(D26:H26)</f>
        <v>0</v>
      </c>
      <c r="J26" s="39">
        <f t="shared" si="1"/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thickBot="1" x14ac:dyDescent="0.25">
      <c r="A27" s="43" t="s">
        <v>22</v>
      </c>
      <c r="B27" s="22"/>
      <c r="C27" s="22">
        <v>30.5</v>
      </c>
      <c r="D27" s="52">
        <v>4.5</v>
      </c>
      <c r="E27" s="52">
        <v>4</v>
      </c>
      <c r="F27" s="53">
        <v>6.6666666670000003</v>
      </c>
      <c r="G27" s="52">
        <v>5</v>
      </c>
      <c r="H27" s="23">
        <v>33</v>
      </c>
      <c r="I27" s="39">
        <f>SUM(D27:H27)</f>
        <v>53.166666667000001</v>
      </c>
      <c r="J27" s="39">
        <f>SUM(B27,C27,I27)/2</f>
        <v>41.833333333500001</v>
      </c>
      <c r="K27" s="39">
        <v>41.8</v>
      </c>
      <c r="L27" s="2">
        <v>59.9</v>
      </c>
      <c r="M27" s="24" t="str">
        <f t="shared" si="2"/>
        <v>E8</v>
      </c>
      <c r="N27" s="25" t="str">
        <f t="shared" si="3"/>
        <v>PASS</v>
      </c>
      <c r="O27" s="2"/>
    </row>
    <row r="28" spans="1:26" ht="15.75" thickBot="1" x14ac:dyDescent="0.25">
      <c r="A28" s="43" t="s">
        <v>23</v>
      </c>
      <c r="B28" s="22">
        <v>54.3</v>
      </c>
      <c r="C28" s="22">
        <v>68.3</v>
      </c>
      <c r="D28" s="52">
        <v>9.8571428569999995</v>
      </c>
      <c r="E28" s="52">
        <v>4.2916666670000003</v>
      </c>
      <c r="F28" s="53">
        <v>5.75</v>
      </c>
      <c r="G28" s="52">
        <v>5</v>
      </c>
      <c r="H28" s="23">
        <v>22.2</v>
      </c>
      <c r="I28" s="39">
        <f t="shared" si="0"/>
        <v>47.098809524000004</v>
      </c>
      <c r="J28" s="39">
        <f t="shared" si="1"/>
        <v>56.566269841333337</v>
      </c>
      <c r="K28" s="39"/>
      <c r="L28" s="2"/>
      <c r="M28" s="24" t="str">
        <f t="shared" si="2"/>
        <v>C5</v>
      </c>
      <c r="N28" s="25" t="str">
        <f t="shared" si="3"/>
        <v>CREDIT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>
        <f t="shared" si="0"/>
        <v>0</v>
      </c>
      <c r="J29" s="39">
        <f t="shared" si="1"/>
        <v>0</v>
      </c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/>
      <c r="J30" s="39"/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/>
      <c r="J32" s="39"/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56.7</v>
      </c>
      <c r="C33" s="22">
        <v>53.9</v>
      </c>
      <c r="D33" s="52">
        <v>7</v>
      </c>
      <c r="E33" s="52">
        <v>3.6666666669999999</v>
      </c>
      <c r="F33" s="53">
        <v>3.8333333330000001</v>
      </c>
      <c r="G33" s="52">
        <v>5</v>
      </c>
      <c r="H33" s="23">
        <v>31.3</v>
      </c>
      <c r="I33" s="39">
        <f t="shared" si="0"/>
        <v>50.8</v>
      </c>
      <c r="J33" s="39">
        <f t="shared" si="1"/>
        <v>53.79999999999999</v>
      </c>
      <c r="K33" s="39"/>
      <c r="L33" s="2"/>
      <c r="M33" s="24" t="str">
        <f t="shared" si="2"/>
        <v>C6</v>
      </c>
      <c r="N33" s="25" t="str">
        <f t="shared" si="3"/>
        <v>CREDIT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/>
      <c r="J34" s="39">
        <f t="shared" si="1"/>
        <v>0</v>
      </c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88.2</v>
      </c>
      <c r="C35" s="22">
        <v>73.5</v>
      </c>
      <c r="D35" s="52">
        <v>8.4</v>
      </c>
      <c r="E35" s="52">
        <v>5</v>
      </c>
      <c r="F35" s="53">
        <v>8.5833333330000006</v>
      </c>
      <c r="G35" s="52">
        <v>3</v>
      </c>
      <c r="H35" s="48">
        <v>58</v>
      </c>
      <c r="I35" s="39">
        <f t="shared" si="0"/>
        <v>82.983333333000004</v>
      </c>
      <c r="J35" s="39">
        <f t="shared" si="1"/>
        <v>81.561111111000002</v>
      </c>
      <c r="K35" s="39">
        <v>42.6</v>
      </c>
      <c r="L35" s="2">
        <v>85.3</v>
      </c>
      <c r="M35" s="24" t="str">
        <f t="shared" si="2"/>
        <v>A1</v>
      </c>
      <c r="N35" s="25" t="str">
        <f t="shared" si="3"/>
        <v>EXCELLENT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579.6542328045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64.406025867166662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5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3.0747107984626263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4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4</v>
      </c>
      <c r="P48" s="4"/>
    </row>
    <row r="49" spans="1:17" ht="15.75" thickBot="1" x14ac:dyDescent="0.25">
      <c r="A49" s="16" t="s">
        <v>54</v>
      </c>
      <c r="B49" s="6"/>
      <c r="C49" s="6"/>
      <c r="D49" s="6">
        <v>120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5</v>
      </c>
      <c r="P49" s="1"/>
    </row>
    <row r="50" spans="1:17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7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7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50</v>
      </c>
      <c r="P52" s="1"/>
    </row>
    <row r="53" spans="1:17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7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7" ht="15.75" thickBot="1" x14ac:dyDescent="0.25">
      <c r="A55" s="8" t="s">
        <v>46</v>
      </c>
      <c r="L55" s="8" t="s">
        <v>47</v>
      </c>
      <c r="M55" s="8"/>
      <c r="N55" s="8" t="s">
        <v>107</v>
      </c>
      <c r="O55" s="8"/>
      <c r="P55" s="8"/>
      <c r="Q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3A2F-6B46-E449-8839-682AE6A44AEF}">
  <dimension ref="A1:Z55"/>
  <sheetViews>
    <sheetView topLeftCell="A18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5703125" customWidth="1"/>
    <col min="5" max="5" width="5.91796875" customWidth="1"/>
    <col min="6" max="6" width="5.109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81</v>
      </c>
      <c r="B10" s="66"/>
      <c r="C10" s="66"/>
      <c r="D10" s="66"/>
      <c r="E10" s="66"/>
      <c r="F10" s="66"/>
      <c r="G10" s="66"/>
      <c r="H10" s="66"/>
      <c r="I10" s="66"/>
      <c r="J10" s="63" t="s">
        <v>82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43" t="s">
        <v>11</v>
      </c>
      <c r="B16" s="22"/>
      <c r="C16" s="22"/>
      <c r="D16" s="48"/>
      <c r="E16" s="48"/>
      <c r="F16" s="48"/>
      <c r="G16" s="48"/>
      <c r="H16" s="48"/>
      <c r="I16" s="39">
        <f t="shared" ref="I16:I37" si="0">SUM(D16:H16)</f>
        <v>0</v>
      </c>
      <c r="J16" s="39">
        <f t="shared" ref="J16:J37" si="1">SUM(B16,C16,I16)/3</f>
        <v>0</v>
      </c>
      <c r="K16" s="39"/>
      <c r="L16" s="2"/>
      <c r="M16" s="24" t="str">
        <f t="shared" ref="M16:M37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6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43" t="s">
        <v>12</v>
      </c>
      <c r="B17" s="22">
        <v>69.2</v>
      </c>
      <c r="C17" s="22">
        <v>57.9</v>
      </c>
      <c r="D17" s="52">
        <v>8.25</v>
      </c>
      <c r="E17" s="52">
        <v>3.75</v>
      </c>
      <c r="F17" s="53">
        <v>8.1666666669999994</v>
      </c>
      <c r="G17" s="52">
        <v>5</v>
      </c>
      <c r="H17" s="23">
        <v>55</v>
      </c>
      <c r="I17" s="39">
        <f t="shared" si="0"/>
        <v>80.166666667000001</v>
      </c>
      <c r="J17" s="39">
        <f t="shared" si="1"/>
        <v>69.088888888999989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B3</v>
      </c>
      <c r="N17" s="25" t="str">
        <f>IF(J17&gt;=75,"EXCELLENT",IF(J17&gt;=70,"VERY GOOD",IF(J17&gt;=65,"GOOD",IF(J17&gt;=50,"CREDIT",IF(J17&gt;=40,"PASS","FAIL")))))</f>
        <v>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43" t="s">
        <v>13</v>
      </c>
      <c r="B18" s="22"/>
      <c r="C18" s="22"/>
      <c r="D18" s="22"/>
      <c r="E18" s="22"/>
      <c r="F18" s="22"/>
      <c r="G18" s="23"/>
      <c r="H18" s="23"/>
      <c r="I18" s="39"/>
      <c r="J18" s="39"/>
      <c r="K18" s="39"/>
      <c r="L18" s="2"/>
      <c r="M18" s="24" t="str">
        <f t="shared" ref="M18:M37" si="4">IF(J18&gt;=75,"A1",IF(J18&gt;=70,"B2",IF(J18&gt;=65,"B3",IF(J18&gt;=60,"C4",IF(J18&gt;=55,"C5",IF(J18&gt;=50,"C6",IF(J18&gt;=45,"D7",IF(J18&gt;=40,"E8","F9"))))))))</f>
        <v>F9</v>
      </c>
      <c r="N18" s="25" t="str">
        <f t="shared" ref="N18:N37" si="5">IF(J18&gt;=75,"EXCELLENT",IF(J18&gt;=70,"VERY GOOD",IF(J18&gt;=65,"GOOD",IF(J18&gt;=50,"CREDIT",IF(J18&gt;=40,"PASS","FAIL")))))</f>
        <v>FAIL</v>
      </c>
      <c r="O18" s="2"/>
    </row>
    <row r="19" spans="1:26" ht="15.75" thickBot="1" x14ac:dyDescent="0.25">
      <c r="A19" s="43" t="s">
        <v>14</v>
      </c>
      <c r="B19" s="22">
        <v>70.5</v>
      </c>
      <c r="C19" s="22">
        <v>55</v>
      </c>
      <c r="D19" s="52">
        <v>6.6</v>
      </c>
      <c r="E19" s="52">
        <v>2.1</v>
      </c>
      <c r="F19" s="53">
        <v>4.75</v>
      </c>
      <c r="G19" s="52">
        <v>3</v>
      </c>
      <c r="H19" s="23">
        <v>45.5</v>
      </c>
      <c r="I19" s="39">
        <f t="shared" si="0"/>
        <v>61.95</v>
      </c>
      <c r="J19" s="39">
        <f t="shared" si="1"/>
        <v>62.483333333333327</v>
      </c>
      <c r="K19" s="39">
        <v>52.2</v>
      </c>
      <c r="L19" s="2">
        <v>75.900000000000006</v>
      </c>
      <c r="M19" s="24" t="str">
        <f t="shared" si="4"/>
        <v>C4</v>
      </c>
      <c r="N19" s="25" t="str">
        <f t="shared" si="5"/>
        <v>CREDIT</v>
      </c>
      <c r="O19" s="2"/>
    </row>
    <row r="20" spans="1:26" ht="15.75" hidden="1" thickBot="1" x14ac:dyDescent="0.25">
      <c r="A20" s="43" t="s">
        <v>15</v>
      </c>
      <c r="B20" s="22">
        <v>66</v>
      </c>
      <c r="C20" s="22"/>
      <c r="D20" s="22"/>
      <c r="E20" s="22"/>
      <c r="F20" s="22"/>
      <c r="G20" s="23"/>
      <c r="H20" s="23"/>
      <c r="I20" s="39"/>
      <c r="J20" s="39"/>
      <c r="K20" s="39"/>
      <c r="L20" s="2"/>
      <c r="M20" s="24" t="str">
        <f t="shared" si="4"/>
        <v>F9</v>
      </c>
      <c r="N20" s="25" t="str">
        <f t="shared" si="5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43" t="s">
        <v>17</v>
      </c>
      <c r="B22" s="22">
        <v>66</v>
      </c>
      <c r="C22" s="22">
        <v>32</v>
      </c>
      <c r="D22" s="52">
        <v>8.75</v>
      </c>
      <c r="E22" s="52">
        <v>4</v>
      </c>
      <c r="F22" s="53">
        <v>5.1111111109999996</v>
      </c>
      <c r="G22" s="52">
        <v>5</v>
      </c>
      <c r="H22" s="48">
        <v>33</v>
      </c>
      <c r="I22" s="39">
        <f t="shared" si="0"/>
        <v>55.861111111</v>
      </c>
      <c r="J22" s="39">
        <f t="shared" si="1"/>
        <v>51.287037037000005</v>
      </c>
      <c r="K22" s="39">
        <v>30.3</v>
      </c>
      <c r="L22" s="2">
        <v>69.2</v>
      </c>
      <c r="M22" s="24" t="str">
        <f t="shared" si="4"/>
        <v>C6</v>
      </c>
      <c r="N22" s="25" t="str">
        <f t="shared" si="5"/>
        <v>CREDIT</v>
      </c>
      <c r="O22" s="2"/>
    </row>
    <row r="23" spans="1:26" ht="15.75" thickBot="1" x14ac:dyDescent="0.25">
      <c r="A23" s="43" t="s">
        <v>18</v>
      </c>
      <c r="B23" s="22">
        <v>44.8</v>
      </c>
      <c r="C23" s="22">
        <v>41.1</v>
      </c>
      <c r="D23" s="52">
        <v>8</v>
      </c>
      <c r="E23" s="52">
        <v>3</v>
      </c>
      <c r="F23" s="53">
        <v>3.3333333330000001</v>
      </c>
      <c r="G23" s="52">
        <v>5</v>
      </c>
      <c r="H23" s="23">
        <v>26</v>
      </c>
      <c r="I23" s="39">
        <f t="shared" si="0"/>
        <v>45.333333332999999</v>
      </c>
      <c r="J23" s="39">
        <f t="shared" si="1"/>
        <v>43.74444444433334</v>
      </c>
      <c r="K23" s="39">
        <v>31.3</v>
      </c>
      <c r="L23" s="2">
        <v>58.4</v>
      </c>
      <c r="M23" s="24" t="str">
        <f t="shared" si="4"/>
        <v>E8</v>
      </c>
      <c r="N23" s="25" t="str">
        <f t="shared" si="5"/>
        <v>PASS</v>
      </c>
      <c r="O23" s="2"/>
    </row>
    <row r="24" spans="1:26" ht="15.75" hidden="1" thickBot="1" x14ac:dyDescent="0.25">
      <c r="A24" s="43" t="s">
        <v>19</v>
      </c>
      <c r="B24" s="22">
        <v>30.5</v>
      </c>
      <c r="C24" s="22"/>
      <c r="D24" s="22"/>
      <c r="E24" s="22"/>
      <c r="F24" s="22"/>
      <c r="G24" s="23"/>
      <c r="H24" s="23"/>
      <c r="I24" s="39"/>
      <c r="J24" s="39"/>
      <c r="K24" s="39"/>
      <c r="L24" s="2"/>
      <c r="M24" s="24" t="str">
        <f t="shared" si="4"/>
        <v>F9</v>
      </c>
      <c r="N24" s="25" t="str">
        <f t="shared" si="5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/>
      <c r="J25" s="39"/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43" t="s">
        <v>22</v>
      </c>
      <c r="B27" s="22"/>
      <c r="C27" s="22"/>
      <c r="D27" s="22"/>
      <c r="E27" s="22"/>
      <c r="F27" s="22"/>
      <c r="G27" s="23"/>
      <c r="H27" s="23"/>
      <c r="I27" s="39">
        <f t="shared" si="0"/>
        <v>0</v>
      </c>
      <c r="J27" s="39">
        <f t="shared" si="1"/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43" t="s">
        <v>23</v>
      </c>
      <c r="B28" s="22">
        <v>38.5</v>
      </c>
      <c r="C28" s="22">
        <v>16</v>
      </c>
      <c r="D28" s="52">
        <v>6.7142857139999998</v>
      </c>
      <c r="E28" s="52">
        <v>2.2083333330000001</v>
      </c>
      <c r="F28" s="53">
        <v>0.33333333300000001</v>
      </c>
      <c r="G28" s="52">
        <v>4.5</v>
      </c>
      <c r="H28" s="23">
        <v>6.5</v>
      </c>
      <c r="I28" s="39">
        <f t="shared" si="0"/>
        <v>20.25595238</v>
      </c>
      <c r="J28" s="39">
        <f t="shared" si="1"/>
        <v>24.918650793333331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43" t="s">
        <v>24</v>
      </c>
      <c r="B29" s="22">
        <v>60</v>
      </c>
      <c r="C29" s="22"/>
      <c r="D29" s="22"/>
      <c r="E29" s="22"/>
      <c r="F29" s="22"/>
      <c r="G29" s="23"/>
      <c r="H29" s="23"/>
      <c r="I29" s="39"/>
      <c r="J29" s="39"/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43" t="s">
        <v>25</v>
      </c>
      <c r="B30" s="22">
        <v>60</v>
      </c>
      <c r="C30" s="22">
        <v>47</v>
      </c>
      <c r="D30" s="52">
        <v>8.5</v>
      </c>
      <c r="E30" s="52">
        <v>4.8</v>
      </c>
      <c r="F30" s="53">
        <v>6.75</v>
      </c>
      <c r="G30" s="52">
        <v>2</v>
      </c>
      <c r="H30" s="48">
        <v>26</v>
      </c>
      <c r="I30" s="39">
        <f t="shared" si="0"/>
        <v>48.05</v>
      </c>
      <c r="J30" s="39">
        <f t="shared" si="1"/>
        <v>51.683333333333337</v>
      </c>
      <c r="K30" s="39">
        <v>33.299999999999997</v>
      </c>
      <c r="L30" s="2">
        <v>66.5</v>
      </c>
      <c r="M30" s="24" t="str">
        <f t="shared" si="4"/>
        <v>C6</v>
      </c>
      <c r="N30" s="25" t="str">
        <f t="shared" si="5"/>
        <v>CREDIT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thickBot="1" x14ac:dyDescent="0.25">
      <c r="A32" s="43" t="s">
        <v>27</v>
      </c>
      <c r="B32" s="22">
        <v>62</v>
      </c>
      <c r="C32" s="22">
        <v>74</v>
      </c>
      <c r="D32" s="52">
        <v>5</v>
      </c>
      <c r="E32" s="52">
        <v>2.6</v>
      </c>
      <c r="F32" s="53">
        <v>3.6666666669999999</v>
      </c>
      <c r="G32" s="52">
        <v>4</v>
      </c>
      <c r="H32" s="23">
        <v>28</v>
      </c>
      <c r="I32" s="39">
        <f t="shared" si="0"/>
        <v>43.266666666999996</v>
      </c>
      <c r="J32" s="39">
        <f t="shared" si="1"/>
        <v>59.75555555566666</v>
      </c>
      <c r="K32" s="39">
        <v>47.3</v>
      </c>
      <c r="L32" s="2">
        <v>71.900000000000006</v>
      </c>
      <c r="M32" s="24" t="str">
        <f t="shared" si="4"/>
        <v>C5</v>
      </c>
      <c r="N32" s="25" t="str">
        <f t="shared" si="5"/>
        <v>CREDIT</v>
      </c>
      <c r="O32" s="2"/>
    </row>
    <row r="33" spans="1:16" ht="15.75" hidden="1" thickBot="1" x14ac:dyDescent="0.25">
      <c r="A33" s="43" t="s">
        <v>28</v>
      </c>
      <c r="B33" s="22"/>
      <c r="C33" s="22"/>
      <c r="D33" s="22"/>
      <c r="E33" s="22"/>
      <c r="F33" s="22"/>
      <c r="G33" s="23"/>
      <c r="H33" s="23"/>
      <c r="I33" s="39"/>
      <c r="J33" s="39"/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>
        <f t="shared" si="0"/>
        <v>0</v>
      </c>
      <c r="J34" s="39">
        <f t="shared" si="1"/>
        <v>0</v>
      </c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43" t="s">
        <v>30</v>
      </c>
      <c r="B35" s="22">
        <v>71.3</v>
      </c>
      <c r="C35" s="22">
        <v>63.5</v>
      </c>
      <c r="D35" s="52">
        <v>5.25</v>
      </c>
      <c r="E35" s="52">
        <v>5</v>
      </c>
      <c r="F35" s="53">
        <v>5.0833333329999997</v>
      </c>
      <c r="G35" s="52">
        <v>3</v>
      </c>
      <c r="H35" s="48">
        <v>38</v>
      </c>
      <c r="I35" s="39">
        <f t="shared" si="0"/>
        <v>56.333333332999999</v>
      </c>
      <c r="J35" s="39">
        <f t="shared" si="1"/>
        <v>63.711111111000001</v>
      </c>
      <c r="K35" s="39">
        <v>42.6</v>
      </c>
      <c r="L35" s="2">
        <v>85.3</v>
      </c>
      <c r="M35" s="24" t="str">
        <f t="shared" si="4"/>
        <v>C4</v>
      </c>
      <c r="N35" s="25" t="str">
        <f t="shared" si="5"/>
        <v>CREDIT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 t="str">
        <f t="shared" si="4"/>
        <v>F9</v>
      </c>
      <c r="N36" s="25" t="str">
        <f t="shared" si="5"/>
        <v>FAIL</v>
      </c>
      <c r="O36" s="2"/>
    </row>
    <row r="37" spans="1:16" ht="15.75" thickBot="1" x14ac:dyDescent="0.25">
      <c r="A37" s="43" t="s">
        <v>32</v>
      </c>
      <c r="B37" s="22">
        <v>32.299999999999997</v>
      </c>
      <c r="C37" s="22">
        <v>45.6</v>
      </c>
      <c r="D37" s="52">
        <v>6</v>
      </c>
      <c r="E37" s="52">
        <v>2</v>
      </c>
      <c r="F37" s="53">
        <v>4</v>
      </c>
      <c r="G37" s="52">
        <v>5</v>
      </c>
      <c r="H37" s="23">
        <v>26</v>
      </c>
      <c r="I37" s="39">
        <f t="shared" si="0"/>
        <v>43</v>
      </c>
      <c r="J37" s="39">
        <f t="shared" si="1"/>
        <v>40.300000000000004</v>
      </c>
      <c r="K37" s="39">
        <v>40.299999999999997</v>
      </c>
      <c r="L37" s="2">
        <v>74.8</v>
      </c>
      <c r="M37" s="24" t="str">
        <f t="shared" si="4"/>
        <v>E8</v>
      </c>
      <c r="N37" s="25" t="str">
        <f t="shared" si="5"/>
        <v>PASS</v>
      </c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466.97235449699997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5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51.885817166333332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5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2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J27*4,J28*5,J29*3,J30*3,J31*3,J32*3,J33*4,J34*3,J35*2,J37*3)/620</f>
        <v>2.2668439580102153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3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5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2</v>
      </c>
      <c r="P48" s="4"/>
    </row>
    <row r="49" spans="1:17" ht="15.75" thickBot="1" x14ac:dyDescent="0.25">
      <c r="A49" s="16" t="s">
        <v>54</v>
      </c>
      <c r="B49" s="6"/>
      <c r="C49" s="6"/>
      <c r="D49" s="6">
        <v>98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  <c r="P49" s="1"/>
    </row>
    <row r="50" spans="1:17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3</v>
      </c>
      <c r="P50" s="4"/>
    </row>
    <row r="51" spans="1:17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  <c r="P51" s="1"/>
    </row>
    <row r="52" spans="1:17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41</v>
      </c>
      <c r="P52" s="1"/>
    </row>
    <row r="53" spans="1:17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 ON TRIAL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7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7" ht="15.75" thickBot="1" x14ac:dyDescent="0.25">
      <c r="A55" s="8" t="s">
        <v>46</v>
      </c>
      <c r="L55" s="8" t="s">
        <v>47</v>
      </c>
      <c r="M55" s="8" t="s">
        <v>107</v>
      </c>
      <c r="N55" s="8"/>
      <c r="O55" s="8"/>
      <c r="P55" s="8"/>
      <c r="Q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27FD-609C-2140-BB4F-BC6485DA20E5}">
  <dimension ref="A1:Z55"/>
  <sheetViews>
    <sheetView topLeftCell="A14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5703125" customWidth="1"/>
    <col min="5" max="6" width="4.83984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6" t="s">
        <v>84</v>
      </c>
      <c r="B10" s="66"/>
      <c r="C10" s="66"/>
      <c r="D10" s="66"/>
      <c r="E10" s="66"/>
      <c r="F10" s="66"/>
      <c r="G10" s="66"/>
      <c r="H10" s="66"/>
      <c r="I10" s="66"/>
      <c r="J10" s="63" t="s">
        <v>83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8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1"/>
    </row>
    <row r="15" spans="1:15" ht="15.75" hidden="1" thickBot="1" x14ac:dyDescent="0.25">
      <c r="A15" s="21" t="s">
        <v>8</v>
      </c>
      <c r="B15" s="22"/>
      <c r="C15" s="22"/>
      <c r="D15" s="22"/>
      <c r="E15" s="22"/>
      <c r="F15" s="22"/>
      <c r="G15" s="23"/>
      <c r="H15" s="23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43" t="s">
        <v>11</v>
      </c>
      <c r="B16" s="22">
        <v>72</v>
      </c>
      <c r="C16" s="22">
        <v>85.1</v>
      </c>
      <c r="D16" s="52">
        <v>7</v>
      </c>
      <c r="E16" s="52">
        <v>4.6875</v>
      </c>
      <c r="F16" s="53">
        <v>8.3333333330000006</v>
      </c>
      <c r="G16" s="52">
        <v>5</v>
      </c>
      <c r="H16" s="48">
        <v>54</v>
      </c>
      <c r="I16" s="39">
        <f t="shared" ref="I16:I37" si="0">SUM(D16:H16)</f>
        <v>79.020833332999999</v>
      </c>
      <c r="J16" s="39">
        <f t="shared" ref="J16:J37" si="1">SUM(B16,C16,I16)/3</f>
        <v>78.706944444333331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A1</v>
      </c>
      <c r="N16" s="25" t="str">
        <f>IF(J16&gt;=75,"EXCELLENT",IF(J16&gt;=70,"VERY GOOD",IF(J16&gt;=65,"GOOD",IF(J16&gt;=50,"CREDIT",IF(J16&gt;=40,"PASS","FAIL")))))</f>
        <v>EXCELLENT</v>
      </c>
      <c r="O16" s="2"/>
    </row>
    <row r="17" spans="1:26" ht="15.75" thickBot="1" x14ac:dyDescent="0.25">
      <c r="A17" s="43" t="s">
        <v>12</v>
      </c>
      <c r="B17" s="22">
        <v>79.5</v>
      </c>
      <c r="C17" s="22">
        <v>56.1</v>
      </c>
      <c r="D17" s="52">
        <v>10</v>
      </c>
      <c r="E17" s="52">
        <v>5</v>
      </c>
      <c r="F17" s="53">
        <v>8.8333333330000006</v>
      </c>
      <c r="G17" s="52">
        <v>5</v>
      </c>
      <c r="H17" s="23">
        <v>56</v>
      </c>
      <c r="I17" s="39">
        <f>SUM(D17:H17)</f>
        <v>84.833333332999999</v>
      </c>
      <c r="J17" s="39">
        <f>SUM(B17,C17,I17)/3</f>
        <v>73.477777777666674</v>
      </c>
      <c r="K17" s="39">
        <v>48.3</v>
      </c>
      <c r="L17" s="2">
        <v>88.3</v>
      </c>
      <c r="M17" s="24" t="str">
        <f t="shared" ref="M17:M35" si="2">IF(J17&gt;=75,"A1",IF(J17&gt;=70,"B2",IF(J17&gt;=65,"B3",IF(J17&gt;=60,"C4",IF(J17&gt;=55,"C5",IF(J17&gt;=50,"C6",IF(J17&gt;=45,"D7",IF(J17&gt;=40,"E8","F9"))))))))</f>
        <v>B2</v>
      </c>
      <c r="N17" s="25" t="str">
        <f t="shared" ref="N17:N35" si="3">IF(J17&gt;=75,"EXCELLENT",IF(J17&gt;=70,"VERY GOOD",IF(J17&gt;=65,"GOOD",IF(J17&gt;=50,"CREDIT",IF(J17&gt;=40,"PASS","FAIL")))))</f>
        <v>VERY 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43" t="s">
        <v>13</v>
      </c>
      <c r="B18" s="22">
        <v>80.3</v>
      </c>
      <c r="C18" s="22">
        <v>92.8</v>
      </c>
      <c r="D18" s="52">
        <v>7.2</v>
      </c>
      <c r="E18" s="52">
        <v>4.8</v>
      </c>
      <c r="F18" s="53">
        <v>8.0833333330000006</v>
      </c>
      <c r="G18" s="52">
        <v>4</v>
      </c>
      <c r="H18" s="23">
        <v>50</v>
      </c>
      <c r="I18" s="39">
        <f>SUM(D18:H18)</f>
        <v>74.083333332999999</v>
      </c>
      <c r="J18" s="39">
        <f>SUM(B18,C18,I18)/3</f>
        <v>82.394444444333331</v>
      </c>
      <c r="K18" s="39">
        <v>37.700000000000003</v>
      </c>
      <c r="L18" s="2">
        <v>82.4</v>
      </c>
      <c r="M18" s="24" t="str">
        <f t="shared" si="2"/>
        <v>A1</v>
      </c>
      <c r="N18" s="25" t="str">
        <f t="shared" si="3"/>
        <v>EXCELLENT</v>
      </c>
      <c r="O18" s="2"/>
    </row>
    <row r="19" spans="1:26" ht="15.75" hidden="1" thickBot="1" x14ac:dyDescent="0.25">
      <c r="A19" s="43" t="s">
        <v>14</v>
      </c>
      <c r="B19" s="22"/>
      <c r="C19" s="22"/>
      <c r="D19" s="22"/>
      <c r="E19" s="22"/>
      <c r="F19" s="22"/>
      <c r="G19" s="23"/>
      <c r="H19" s="23"/>
      <c r="I19" s="39">
        <f>SUM(D19:H19)</f>
        <v>0</v>
      </c>
      <c r="J19" s="39">
        <f>SUM(B19,C19,I19)/3</f>
        <v>0</v>
      </c>
      <c r="K19" s="39"/>
      <c r="L19" s="2"/>
      <c r="M19" s="24" t="str">
        <f t="shared" si="2"/>
        <v>F9</v>
      </c>
      <c r="N19" s="25" t="str">
        <f t="shared" si="3"/>
        <v>FAIL</v>
      </c>
      <c r="O19" s="2"/>
    </row>
    <row r="20" spans="1:26" ht="15.75" hidden="1" thickBot="1" x14ac:dyDescent="0.25">
      <c r="A20" s="43" t="s">
        <v>15</v>
      </c>
      <c r="B20" s="22"/>
      <c r="C20" s="22"/>
      <c r="D20" s="22"/>
      <c r="E20" s="22"/>
      <c r="F20" s="22"/>
      <c r="G20" s="23"/>
      <c r="H20" s="23"/>
      <c r="I20" s="39">
        <f>SUM(D20:H20)</f>
        <v>0</v>
      </c>
      <c r="J20" s="39">
        <f>SUM(B20,C20,I20)/3</f>
        <v>0</v>
      </c>
      <c r="K20" s="39"/>
      <c r="L20" s="2"/>
      <c r="M20" s="24" t="str">
        <f t="shared" si="2"/>
        <v>F9</v>
      </c>
      <c r="N20" s="25" t="str">
        <f t="shared" si="3"/>
        <v>FAIL</v>
      </c>
      <c r="O20" s="2"/>
    </row>
    <row r="21" spans="1:26" ht="15.75" hidden="1" thickBot="1" x14ac:dyDescent="0.25">
      <c r="A21" s="43" t="s">
        <v>16</v>
      </c>
      <c r="B21" s="22"/>
      <c r="C21" s="22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2"/>
        <v>F9</v>
      </c>
      <c r="N21" s="25" t="str">
        <f t="shared" si="3"/>
        <v>FAIL</v>
      </c>
      <c r="O21" s="2"/>
    </row>
    <row r="22" spans="1:26" ht="15.75" thickBot="1" x14ac:dyDescent="0.25">
      <c r="A22" s="43" t="s">
        <v>17</v>
      </c>
      <c r="B22" s="22">
        <v>71.900000000000006</v>
      </c>
      <c r="C22" s="22">
        <v>55.9</v>
      </c>
      <c r="D22" s="52">
        <v>9.75</v>
      </c>
      <c r="E22" s="52">
        <v>4</v>
      </c>
      <c r="F22" s="53">
        <v>7.7777777779999999</v>
      </c>
      <c r="G22" s="52">
        <v>5</v>
      </c>
      <c r="H22" s="48">
        <v>53</v>
      </c>
      <c r="I22" s="39">
        <f>SUM(D22:H22)</f>
        <v>79.527777778000001</v>
      </c>
      <c r="J22" s="39">
        <f>SUM(B22,C22,I22)/3</f>
        <v>69.109259259333342</v>
      </c>
      <c r="K22" s="39">
        <v>30.3</v>
      </c>
      <c r="L22" s="2">
        <v>69.2</v>
      </c>
      <c r="M22" s="24" t="str">
        <f t="shared" si="2"/>
        <v>B3</v>
      </c>
      <c r="N22" s="25" t="str">
        <f t="shared" si="3"/>
        <v>GOOD</v>
      </c>
      <c r="O22" s="2"/>
    </row>
    <row r="23" spans="1:26" ht="15.75" thickBot="1" x14ac:dyDescent="0.25">
      <c r="A23" s="43" t="s">
        <v>18</v>
      </c>
      <c r="B23" s="22">
        <v>50.8</v>
      </c>
      <c r="C23" s="22">
        <v>49.6</v>
      </c>
      <c r="D23" s="52">
        <v>8</v>
      </c>
      <c r="E23" s="52">
        <v>3.5</v>
      </c>
      <c r="F23" s="53">
        <v>8</v>
      </c>
      <c r="G23" s="52">
        <v>5</v>
      </c>
      <c r="H23" s="23">
        <v>32</v>
      </c>
      <c r="I23" s="39">
        <f>SUM(D23:H23)</f>
        <v>56.5</v>
      </c>
      <c r="J23" s="39">
        <f>SUM(B23,C23,I23)/3</f>
        <v>52.300000000000004</v>
      </c>
      <c r="K23" s="39">
        <v>31.3</v>
      </c>
      <c r="L23" s="2">
        <v>58.4</v>
      </c>
      <c r="M23" s="24" t="str">
        <f t="shared" si="2"/>
        <v>C6</v>
      </c>
      <c r="N23" s="25" t="str">
        <f t="shared" si="3"/>
        <v>CREDIT</v>
      </c>
      <c r="O23" s="2"/>
    </row>
    <row r="24" spans="1:26" ht="15.75" hidden="1" thickBot="1" x14ac:dyDescent="0.25">
      <c r="A24" s="43" t="s">
        <v>19</v>
      </c>
      <c r="B24" s="22"/>
      <c r="C24" s="22"/>
      <c r="D24" s="22"/>
      <c r="E24" s="22"/>
      <c r="F24" s="22"/>
      <c r="G24" s="23"/>
      <c r="H24" s="23"/>
      <c r="I24" s="39">
        <f>SUM(D24:H24)</f>
        <v>0</v>
      </c>
      <c r="J24" s="39">
        <f>SUM(B24,C24,I24)/3</f>
        <v>0</v>
      </c>
      <c r="K24" s="39"/>
      <c r="L24" s="2"/>
      <c r="M24" s="24" t="str">
        <f t="shared" si="2"/>
        <v>F9</v>
      </c>
      <c r="N24" s="25" t="str">
        <f t="shared" si="3"/>
        <v>FAIL</v>
      </c>
      <c r="O24" s="2"/>
    </row>
    <row r="25" spans="1:26" ht="15.75" hidden="1" thickBot="1" x14ac:dyDescent="0.25">
      <c r="A25" s="43" t="s">
        <v>20</v>
      </c>
      <c r="B25" s="22"/>
      <c r="C25" s="22"/>
      <c r="D25" s="22"/>
      <c r="E25" s="22"/>
      <c r="F25" s="22"/>
      <c r="G25" s="23"/>
      <c r="H25" s="23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2"/>
        <v>F9</v>
      </c>
      <c r="N25" s="25" t="str">
        <f t="shared" si="3"/>
        <v>FAIL</v>
      </c>
      <c r="O25" s="2"/>
    </row>
    <row r="26" spans="1:26" ht="15.75" hidden="1" thickBot="1" x14ac:dyDescent="0.25">
      <c r="A26" s="43" t="s">
        <v>21</v>
      </c>
      <c r="B26" s="22"/>
      <c r="C26" s="22"/>
      <c r="D26" s="22"/>
      <c r="E26" s="22"/>
      <c r="F26" s="22"/>
      <c r="G26" s="23"/>
      <c r="H26" s="23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2"/>
        <v>F9</v>
      </c>
      <c r="N26" s="25" t="str">
        <f t="shared" si="3"/>
        <v>FAIL</v>
      </c>
      <c r="O26" s="2"/>
    </row>
    <row r="27" spans="1:26" ht="15.75" thickBot="1" x14ac:dyDescent="0.25">
      <c r="A27" s="43" t="s">
        <v>22</v>
      </c>
      <c r="B27" s="22"/>
      <c r="C27" s="22">
        <v>32</v>
      </c>
      <c r="D27" s="52">
        <v>6.6666666670000003</v>
      </c>
      <c r="E27" s="52">
        <v>3.8333333330000001</v>
      </c>
      <c r="F27" s="53">
        <v>5.3333333329999997</v>
      </c>
      <c r="G27" s="52">
        <v>5</v>
      </c>
      <c r="H27" s="23">
        <v>34</v>
      </c>
      <c r="I27" s="39">
        <f>SUM(D27:H27)</f>
        <v>54.833333332999999</v>
      </c>
      <c r="J27" s="39">
        <f>SUM(B27,C27,I27)/2</f>
        <v>43.416666666499999</v>
      </c>
      <c r="K27" s="39">
        <v>41.8</v>
      </c>
      <c r="L27" s="2">
        <v>59.9</v>
      </c>
      <c r="M27" s="24" t="str">
        <f t="shared" si="2"/>
        <v>E8</v>
      </c>
      <c r="N27" s="25" t="str">
        <f t="shared" si="3"/>
        <v>PASS</v>
      </c>
      <c r="O27" s="2"/>
    </row>
    <row r="28" spans="1:26" ht="15.75" thickBot="1" x14ac:dyDescent="0.25">
      <c r="A28" s="43" t="s">
        <v>23</v>
      </c>
      <c r="B28" s="22">
        <v>41.7</v>
      </c>
      <c r="C28" s="22">
        <v>48</v>
      </c>
      <c r="D28" s="52">
        <v>6.8571428570000004</v>
      </c>
      <c r="E28" s="52">
        <v>4.4583333329999997</v>
      </c>
      <c r="F28" s="53">
        <v>5.1666666670000003</v>
      </c>
      <c r="G28" s="52">
        <v>5</v>
      </c>
      <c r="H28" s="23">
        <v>22</v>
      </c>
      <c r="I28" s="39">
        <f>SUM(D28:H28)</f>
        <v>43.482142856999999</v>
      </c>
      <c r="J28" s="39">
        <f>SUM(B28,C28,I28)/3</f>
        <v>44.394047618999998</v>
      </c>
      <c r="K28" s="39"/>
      <c r="L28" s="2"/>
      <c r="M28" s="24" t="str">
        <f t="shared" si="2"/>
        <v>E8</v>
      </c>
      <c r="N28" s="25" t="str">
        <f t="shared" si="3"/>
        <v>PASS</v>
      </c>
      <c r="O28" s="2"/>
    </row>
    <row r="29" spans="1:26" ht="15.75" hidden="1" thickBot="1" x14ac:dyDescent="0.25">
      <c r="A29" s="43" t="s">
        <v>24</v>
      </c>
      <c r="B29" s="22"/>
      <c r="C29" s="22"/>
      <c r="D29" s="22"/>
      <c r="E29" s="22"/>
      <c r="F29" s="22"/>
      <c r="G29" s="23"/>
      <c r="H29" s="23"/>
      <c r="I29" s="39">
        <f>SUM(D29:H29)</f>
        <v>0</v>
      </c>
      <c r="J29" s="39">
        <f>SUM(B29,C29,I29)/3</f>
        <v>0</v>
      </c>
      <c r="K29" s="39"/>
      <c r="L29" s="2"/>
      <c r="M29" s="24" t="str">
        <f t="shared" si="2"/>
        <v>F9</v>
      </c>
      <c r="N29" s="25" t="str">
        <f t="shared" si="3"/>
        <v>FAIL</v>
      </c>
      <c r="O29" s="2"/>
    </row>
    <row r="30" spans="1:26" ht="15.75" hidden="1" thickBot="1" x14ac:dyDescent="0.25">
      <c r="A30" s="43" t="s">
        <v>25</v>
      </c>
      <c r="B30" s="22"/>
      <c r="C30" s="22"/>
      <c r="D30" s="22"/>
      <c r="E30" s="22"/>
      <c r="F30" s="22"/>
      <c r="G30" s="23"/>
      <c r="H30" s="23"/>
      <c r="I30" s="39">
        <f>SUM(D30:H30)</f>
        <v>0</v>
      </c>
      <c r="J30" s="39">
        <f>SUM(B30,C30,I30)/3</f>
        <v>0</v>
      </c>
      <c r="K30" s="39"/>
      <c r="L30" s="2"/>
      <c r="M30" s="24" t="str">
        <f t="shared" si="2"/>
        <v>F9</v>
      </c>
      <c r="N30" s="25" t="str">
        <f t="shared" si="3"/>
        <v>FAIL</v>
      </c>
      <c r="O30" s="2"/>
    </row>
    <row r="31" spans="1:26" ht="15.75" hidden="1" thickBot="1" x14ac:dyDescent="0.25">
      <c r="A31" s="43" t="s">
        <v>26</v>
      </c>
      <c r="B31" s="22"/>
      <c r="C31" s="22"/>
      <c r="D31" s="22"/>
      <c r="E31" s="22"/>
      <c r="F31" s="22"/>
      <c r="G31" s="23"/>
      <c r="H31" s="23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2"/>
        <v>F9</v>
      </c>
      <c r="N31" s="25" t="str">
        <f t="shared" si="3"/>
        <v>FAIL</v>
      </c>
      <c r="O31" s="2"/>
    </row>
    <row r="32" spans="1:26" ht="15.75" hidden="1" thickBot="1" x14ac:dyDescent="0.25">
      <c r="A32" s="43" t="s">
        <v>27</v>
      </c>
      <c r="B32" s="22"/>
      <c r="C32" s="22"/>
      <c r="D32" s="22"/>
      <c r="E32" s="22"/>
      <c r="F32" s="22"/>
      <c r="G32" s="23"/>
      <c r="H32" s="23"/>
      <c r="I32" s="39">
        <f>SUM(D32:H32)</f>
        <v>0</v>
      </c>
      <c r="J32" s="39">
        <f>SUM(B32,C32,I32)/3</f>
        <v>0</v>
      </c>
      <c r="K32" s="39"/>
      <c r="L32" s="2"/>
      <c r="M32" s="24" t="str">
        <f t="shared" si="2"/>
        <v>F9</v>
      </c>
      <c r="N32" s="25" t="str">
        <f t="shared" si="3"/>
        <v>FAIL</v>
      </c>
      <c r="O32" s="2"/>
    </row>
    <row r="33" spans="1:16" ht="15.75" thickBot="1" x14ac:dyDescent="0.25">
      <c r="A33" s="43" t="s">
        <v>28</v>
      </c>
      <c r="B33" s="22">
        <v>57.3</v>
      </c>
      <c r="C33" s="22">
        <v>53.9</v>
      </c>
      <c r="D33" s="52">
        <v>7</v>
      </c>
      <c r="E33" s="52">
        <v>4</v>
      </c>
      <c r="F33" s="53">
        <v>5.5</v>
      </c>
      <c r="G33" s="52">
        <v>5</v>
      </c>
      <c r="H33" s="23">
        <v>36.799999999999997</v>
      </c>
      <c r="I33" s="39">
        <f>SUM(D33:H33)</f>
        <v>58.3</v>
      </c>
      <c r="J33" s="39">
        <f>SUM(B33,C33,I33)/3</f>
        <v>56.5</v>
      </c>
      <c r="K33" s="39"/>
      <c r="L33" s="2"/>
      <c r="M33" s="24" t="str">
        <f t="shared" si="2"/>
        <v>C5</v>
      </c>
      <c r="N33" s="25" t="str">
        <f t="shared" si="3"/>
        <v>CREDIT</v>
      </c>
      <c r="O33" s="2"/>
    </row>
    <row r="34" spans="1:16" ht="15.75" hidden="1" thickBot="1" x14ac:dyDescent="0.25">
      <c r="A34" s="43" t="s">
        <v>29</v>
      </c>
      <c r="B34" s="22"/>
      <c r="C34" s="22"/>
      <c r="D34" s="22"/>
      <c r="E34" s="22"/>
      <c r="F34" s="22"/>
      <c r="G34" s="23"/>
      <c r="H34" s="23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2"/>
        <v>F9</v>
      </c>
      <c r="N34" s="25" t="str">
        <f t="shared" si="3"/>
        <v>FAIL</v>
      </c>
      <c r="O34" s="2"/>
    </row>
    <row r="35" spans="1:16" ht="15.75" thickBot="1" x14ac:dyDescent="0.25">
      <c r="A35" s="43" t="s">
        <v>30</v>
      </c>
      <c r="B35" s="22">
        <v>86.9</v>
      </c>
      <c r="C35" s="22">
        <v>86</v>
      </c>
      <c r="D35" s="52">
        <v>7.6</v>
      </c>
      <c r="E35" s="52">
        <v>3</v>
      </c>
      <c r="F35" s="53">
        <v>7</v>
      </c>
      <c r="G35" s="52">
        <v>4</v>
      </c>
      <c r="H35" s="48">
        <v>51</v>
      </c>
      <c r="I35" s="39">
        <f>SUM(D35:H35)</f>
        <v>72.599999999999994</v>
      </c>
      <c r="J35" s="39">
        <f>SUM(B35,C35,I35)/3</f>
        <v>81.833333333333329</v>
      </c>
      <c r="K35" s="39">
        <v>42.6</v>
      </c>
      <c r="L35" s="2">
        <v>85.3</v>
      </c>
      <c r="M35" s="24" t="str">
        <f t="shared" si="2"/>
        <v>A1</v>
      </c>
      <c r="N35" s="25" t="str">
        <f t="shared" si="3"/>
        <v>EXCELLENT</v>
      </c>
      <c r="O35" s="2"/>
    </row>
    <row r="36" spans="1:16" ht="15.75" hidden="1" thickBot="1" x14ac:dyDescent="0.25">
      <c r="A36" s="43" t="s">
        <v>31</v>
      </c>
      <c r="B36" s="22"/>
      <c r="C36" s="22"/>
      <c r="D36" s="22"/>
      <c r="E36" s="22"/>
      <c r="F36" s="22"/>
      <c r="G36" s="23"/>
      <c r="H36" s="23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43" t="s">
        <v>32</v>
      </c>
      <c r="B37" s="22"/>
      <c r="C37" s="22"/>
      <c r="D37" s="22"/>
      <c r="E37" s="22"/>
      <c r="F37" s="22"/>
      <c r="G37" s="23"/>
      <c r="H37" s="23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41" t="s">
        <v>63</v>
      </c>
      <c r="B39" s="6"/>
      <c r="C39" s="6"/>
      <c r="D39" s="40">
        <f>SUM(J15:J37)</f>
        <v>582.13247354450004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42" t="s">
        <v>53</v>
      </c>
      <c r="P39" s="3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5</v>
      </c>
      <c r="P40" s="1"/>
    </row>
    <row r="41" spans="1:16" ht="15.75" thickBot="1" x14ac:dyDescent="0.25">
      <c r="A41" s="17" t="s">
        <v>48</v>
      </c>
      <c r="B41" s="6"/>
      <c r="C41" s="6"/>
      <c r="D41" s="6">
        <f>SUM(J15:J37)/9</f>
        <v>64.681385949388897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5</v>
      </c>
      <c r="P41" s="1"/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4</v>
      </c>
      <c r="P42" s="1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5</v>
      </c>
      <c r="P43" s="1"/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  <c r="P44" s="1"/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3.0992310004782828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  <c r="P45" s="1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4</v>
      </c>
      <c r="P46" s="1"/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5</v>
      </c>
      <c r="P47" s="1"/>
    </row>
    <row r="48" spans="1:16" ht="15.75" thickBot="1" x14ac:dyDescent="0.25">
      <c r="A48" s="11"/>
      <c r="B48" s="4"/>
      <c r="C48" s="4"/>
      <c r="D48" s="4"/>
      <c r="E48" s="4"/>
      <c r="F48" s="4"/>
      <c r="G48" s="4"/>
      <c r="H48" s="4"/>
      <c r="I48" s="4"/>
      <c r="J48" s="12"/>
      <c r="K48" s="54" t="s">
        <v>41</v>
      </c>
      <c r="L48" s="55"/>
      <c r="M48" s="55"/>
      <c r="N48" s="55"/>
      <c r="O48" s="20">
        <v>4</v>
      </c>
      <c r="P48" s="4"/>
    </row>
    <row r="49" spans="1:16" ht="15.75" thickBot="1" x14ac:dyDescent="0.25">
      <c r="A49" s="16" t="s">
        <v>54</v>
      </c>
      <c r="B49" s="6"/>
      <c r="C49" s="6"/>
      <c r="D49" s="6">
        <v>102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4</v>
      </c>
      <c r="P49" s="1"/>
    </row>
    <row r="50" spans="1:16" ht="15.75" thickBot="1" x14ac:dyDescent="0.25">
      <c r="A50" s="11"/>
      <c r="B50" s="4"/>
      <c r="C50" s="4"/>
      <c r="D50" s="4"/>
      <c r="E50" s="4"/>
      <c r="F50" s="4"/>
      <c r="G50" s="4"/>
      <c r="H50" s="4"/>
      <c r="I50" s="4"/>
      <c r="J50" s="12"/>
      <c r="K50" s="54" t="s">
        <v>43</v>
      </c>
      <c r="L50" s="55"/>
      <c r="M50" s="55"/>
      <c r="N50" s="55"/>
      <c r="O50" s="20">
        <v>4</v>
      </c>
      <c r="P50" s="4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  <c r="P51" s="1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52</v>
      </c>
      <c r="P52" s="1"/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 t="s">
        <v>47</v>
      </c>
      <c r="M55" s="8" t="s">
        <v>107</v>
      </c>
      <c r="N55" s="8"/>
      <c r="O55" s="8"/>
      <c r="P55" s="8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528-22ED-B146-8BAD-64DD0A2C845C}">
  <dimension ref="A1:Z55"/>
  <sheetViews>
    <sheetView topLeftCell="A13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6" width="4.83984375" customWidth="1"/>
    <col min="7" max="9" width="4.5703125" customWidth="1"/>
    <col min="10" max="10" width="6.1875" customWidth="1"/>
    <col min="11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86</v>
      </c>
      <c r="B10" s="63"/>
      <c r="C10" s="63"/>
      <c r="D10" s="63"/>
      <c r="E10" s="63"/>
      <c r="F10" s="63"/>
      <c r="G10" s="63"/>
      <c r="H10" s="63"/>
      <c r="I10" s="63"/>
      <c r="J10" s="63" t="s">
        <v>85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51" t="s">
        <v>11</v>
      </c>
      <c r="B16" s="44">
        <v>75.2</v>
      </c>
      <c r="C16" s="44">
        <v>80.5</v>
      </c>
      <c r="D16" s="52">
        <v>7.7</v>
      </c>
      <c r="E16" s="52">
        <v>4.25</v>
      </c>
      <c r="F16" s="53">
        <v>8.5</v>
      </c>
      <c r="G16" s="52">
        <v>5</v>
      </c>
      <c r="H16" s="48">
        <v>54</v>
      </c>
      <c r="I16" s="39">
        <f t="shared" ref="I16:I35" si="0">SUM(D16:H16)</f>
        <v>79.45</v>
      </c>
      <c r="J16" s="39">
        <f>SUM(B16,C16,I16)/3</f>
        <v>78.383333333333326</v>
      </c>
      <c r="K16" s="39">
        <v>40.700000000000003</v>
      </c>
      <c r="L16" s="2">
        <v>80.2</v>
      </c>
      <c r="M16" s="24" t="str">
        <f>IF(J16&gt;=75,"A1",IF(J16&gt;=70,"B2",IF(J16&gt;=65,"B3",IF(J16&gt;=60,"C4",IF(J16&gt;=55,"C5",IF(J16&gt;=50,"C6",IF(J16&gt;=45,"D7",IF(J16&gt;=40,"E8","F9"))))))))</f>
        <v>A1</v>
      </c>
      <c r="N16" s="25" t="str">
        <f>IF(J16&gt;=75,"EXCELLENT",IF(J16&gt;=70,"VERY GOOD",IF(J16&gt;=65,"GOOD",IF(J16&gt;=50,"CREDIT",IF(J16&gt;=40,"PASS","FAIL")))))</f>
        <v>EXCELLENT</v>
      </c>
      <c r="O16" s="2"/>
    </row>
    <row r="17" spans="1:26" ht="15.75" thickBot="1" x14ac:dyDescent="0.25">
      <c r="A17" s="51" t="s">
        <v>12</v>
      </c>
      <c r="B17" s="44">
        <v>78.3</v>
      </c>
      <c r="C17" s="44">
        <v>76.2</v>
      </c>
      <c r="D17" s="52">
        <v>10</v>
      </c>
      <c r="E17" s="52">
        <v>4</v>
      </c>
      <c r="F17" s="53">
        <v>9.3333333330000006</v>
      </c>
      <c r="G17" s="52">
        <v>5</v>
      </c>
      <c r="H17" s="45">
        <v>60</v>
      </c>
      <c r="I17" s="39">
        <f>SUM(D17:H17)</f>
        <v>88.333333332999999</v>
      </c>
      <c r="J17" s="39">
        <f>SUM(B17,C17,I17)/3</f>
        <v>80.944444444333328</v>
      </c>
      <c r="K17" s="39">
        <v>48.3</v>
      </c>
      <c r="L17" s="2">
        <v>88.3</v>
      </c>
      <c r="M17" s="24" t="str">
        <f t="shared" ref="M17:M35" si="1">IF(J17&gt;=75,"A1",IF(J17&gt;=70,"B2",IF(J17&gt;=65,"B3",IF(J17&gt;=60,"C4",IF(J17&gt;=55,"C5",IF(J17&gt;=50,"C6",IF(J17&gt;=45,"D7",IF(J17&gt;=40,"E8","F9"))))))))</f>
        <v>A1</v>
      </c>
      <c r="N17" s="25" t="str">
        <f t="shared" ref="N17:N35" si="2"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51" t="s">
        <v>13</v>
      </c>
      <c r="B18" s="44">
        <v>63.7</v>
      </c>
      <c r="C18" s="44">
        <v>76.8</v>
      </c>
      <c r="D18" s="52">
        <v>8.8000000000000007</v>
      </c>
      <c r="E18" s="52">
        <v>4.8</v>
      </c>
      <c r="F18" s="53">
        <v>9.1666666669999994</v>
      </c>
      <c r="G18" s="52">
        <v>5</v>
      </c>
      <c r="H18" s="45">
        <v>57</v>
      </c>
      <c r="I18" s="39">
        <f>SUM(D18:H18)</f>
        <v>84.76666666700001</v>
      </c>
      <c r="J18" s="39">
        <f>SUM(B18,C18,I18)/3</f>
        <v>75.088888889000003</v>
      </c>
      <c r="K18" s="39">
        <v>37.700000000000003</v>
      </c>
      <c r="L18" s="2">
        <v>82.4</v>
      </c>
      <c r="M18" s="24" t="str">
        <f t="shared" si="1"/>
        <v>A1</v>
      </c>
      <c r="N18" s="25" t="str">
        <f t="shared" si="2"/>
        <v>EXCELLENT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>
        <f>SUM(D19:H19)</f>
        <v>0</v>
      </c>
      <c r="J19" s="39">
        <f>SUM(B19,C19,I19)/3</f>
        <v>0</v>
      </c>
      <c r="K19" s="39"/>
      <c r="L19" s="2"/>
      <c r="M19" s="24" t="str">
        <f t="shared" si="1"/>
        <v>F9</v>
      </c>
      <c r="N19" s="25" t="str">
        <f t="shared" si="2"/>
        <v>FAIL</v>
      </c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>
        <f>SUM(D20:H20)</f>
        <v>0</v>
      </c>
      <c r="J20" s="39">
        <f>SUM(B20,C20,I20)/3</f>
        <v>0</v>
      </c>
      <c r="K20" s="39"/>
      <c r="L20" s="2"/>
      <c r="M20" s="24" t="str">
        <f t="shared" si="1"/>
        <v>F9</v>
      </c>
      <c r="N20" s="25" t="str">
        <f t="shared" si="2"/>
        <v>FAIL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1"/>
        <v>F9</v>
      </c>
      <c r="N21" s="25" t="str">
        <f t="shared" si="2"/>
        <v>FAIL</v>
      </c>
      <c r="O21" s="2"/>
    </row>
    <row r="22" spans="1:26" ht="15.75" thickBot="1" x14ac:dyDescent="0.25">
      <c r="A22" s="51" t="s">
        <v>17</v>
      </c>
      <c r="B22" s="44">
        <v>47.9</v>
      </c>
      <c r="C22" s="44">
        <v>52.3</v>
      </c>
      <c r="D22" s="52">
        <v>9.1999999999999993</v>
      </c>
      <c r="E22" s="52">
        <v>4.8</v>
      </c>
      <c r="F22" s="53">
        <v>7.5555555559999998</v>
      </c>
      <c r="G22" s="48">
        <v>5</v>
      </c>
      <c r="H22" s="48">
        <v>45.5</v>
      </c>
      <c r="I22" s="39">
        <f>SUM(D22:H22)</f>
        <v>72.055555556000002</v>
      </c>
      <c r="J22" s="39">
        <f>SUM(B22,C22,I22)/3</f>
        <v>57.418518518666666</v>
      </c>
      <c r="K22" s="39">
        <v>30.3</v>
      </c>
      <c r="L22" s="2">
        <v>69.2</v>
      </c>
      <c r="M22" s="24" t="str">
        <f t="shared" si="1"/>
        <v>C5</v>
      </c>
      <c r="N22" s="25" t="str">
        <f t="shared" si="2"/>
        <v>CREDIT</v>
      </c>
      <c r="O22" s="2"/>
    </row>
    <row r="23" spans="1:26" ht="15.75" thickBot="1" x14ac:dyDescent="0.25">
      <c r="A23" s="51" t="s">
        <v>18</v>
      </c>
      <c r="B23" s="44">
        <v>49.3</v>
      </c>
      <c r="C23" s="44">
        <v>48.9</v>
      </c>
      <c r="D23" s="52">
        <v>8</v>
      </c>
      <c r="E23" s="52">
        <v>3.5</v>
      </c>
      <c r="F23" s="53">
        <v>8.6666666669999994</v>
      </c>
      <c r="G23" s="52">
        <v>5</v>
      </c>
      <c r="H23" s="45">
        <v>33</v>
      </c>
      <c r="I23" s="39">
        <f>SUM(D23:H23)</f>
        <v>58.166666667000001</v>
      </c>
      <c r="J23" s="39">
        <f>SUM(B23,C23,I23)/3</f>
        <v>52.122222222333335</v>
      </c>
      <c r="K23" s="39">
        <v>31.3</v>
      </c>
      <c r="L23" s="2">
        <v>58.4</v>
      </c>
      <c r="M23" s="24" t="str">
        <f t="shared" si="1"/>
        <v>C6</v>
      </c>
      <c r="N23" s="25" t="str">
        <f t="shared" si="2"/>
        <v>CREDIT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>
        <f>SUM(D24:H24)</f>
        <v>0</v>
      </c>
      <c r="J24" s="39">
        <f>SUM(B24,C24,I24)/3</f>
        <v>0</v>
      </c>
      <c r="K24" s="39"/>
      <c r="L24" s="2"/>
      <c r="M24" s="24" t="str">
        <f t="shared" si="1"/>
        <v>F9</v>
      </c>
      <c r="N24" s="25" t="str">
        <f t="shared" si="2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1"/>
        <v>F9</v>
      </c>
      <c r="N25" s="25" t="str">
        <f t="shared" si="2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1"/>
        <v>F9</v>
      </c>
      <c r="N26" s="25" t="str">
        <f t="shared" si="2"/>
        <v>FAIL</v>
      </c>
      <c r="O26" s="2"/>
    </row>
    <row r="27" spans="1:26" ht="15.75" thickBot="1" x14ac:dyDescent="0.25">
      <c r="A27" s="51" t="s">
        <v>22</v>
      </c>
      <c r="B27" s="44"/>
      <c r="C27" s="44">
        <v>54</v>
      </c>
      <c r="D27" s="52">
        <v>5.75</v>
      </c>
      <c r="E27" s="52">
        <v>4.375</v>
      </c>
      <c r="F27" s="53">
        <v>6.6666666670000003</v>
      </c>
      <c r="G27" s="52">
        <v>5</v>
      </c>
      <c r="H27" s="45">
        <v>44</v>
      </c>
      <c r="I27" s="39">
        <f>SUM(D27:H27)</f>
        <v>65.791666667000001</v>
      </c>
      <c r="J27" s="39">
        <f>SUM(B27,C27,I27)/2</f>
        <v>59.895833333500001</v>
      </c>
      <c r="K27" s="39">
        <v>41.8</v>
      </c>
      <c r="L27" s="2">
        <v>59.9</v>
      </c>
      <c r="M27" s="24" t="str">
        <f t="shared" si="1"/>
        <v>C5</v>
      </c>
      <c r="N27" s="25" t="str">
        <f t="shared" si="2"/>
        <v>CREDIT</v>
      </c>
      <c r="O27" s="2"/>
    </row>
    <row r="28" spans="1:26" ht="15.75" thickBot="1" x14ac:dyDescent="0.25">
      <c r="A28" s="51" t="s">
        <v>23</v>
      </c>
      <c r="B28" s="44">
        <v>58.1</v>
      </c>
      <c r="C28" s="44">
        <v>62.5</v>
      </c>
      <c r="D28" s="52">
        <v>9.7142857140000007</v>
      </c>
      <c r="E28" s="52">
        <v>4.0833333329999997</v>
      </c>
      <c r="F28" s="53">
        <v>7.4166666670000003</v>
      </c>
      <c r="G28" s="52">
        <v>5</v>
      </c>
      <c r="H28" s="45">
        <v>46.6</v>
      </c>
      <c r="I28" s="39">
        <f>SUM(D28:H28)</f>
        <v>72.814285714000007</v>
      </c>
      <c r="J28" s="39">
        <f>SUM(B28,C28,I28)/3</f>
        <v>64.471428571333334</v>
      </c>
      <c r="K28" s="39"/>
      <c r="L28" s="2"/>
      <c r="M28" s="24" t="str">
        <f t="shared" si="1"/>
        <v>C4</v>
      </c>
      <c r="N28" s="25" t="str">
        <f t="shared" si="2"/>
        <v>CREDIT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>
        <f>SUM(D29:H29)</f>
        <v>0</v>
      </c>
      <c r="J29" s="39">
        <f>SUM(B29,C29,I29)/3</f>
        <v>0</v>
      </c>
      <c r="K29" s="39"/>
      <c r="L29" s="2"/>
      <c r="M29" s="24" t="str">
        <f t="shared" si="1"/>
        <v>F9</v>
      </c>
      <c r="N29" s="25" t="str">
        <f t="shared" si="2"/>
        <v>FAIL</v>
      </c>
      <c r="O29" s="2"/>
    </row>
    <row r="30" spans="1:26" ht="15.75" hidden="1" thickBot="1" x14ac:dyDescent="0.25">
      <c r="A30" s="51" t="s">
        <v>25</v>
      </c>
      <c r="B30" s="44"/>
      <c r="C30" s="44"/>
      <c r="D30" s="44"/>
      <c r="E30" s="44"/>
      <c r="F30" s="44"/>
      <c r="G30" s="45"/>
      <c r="H30" s="45"/>
      <c r="I30" s="39">
        <f>SUM(D30:H30)</f>
        <v>0</v>
      </c>
      <c r="J30" s="39">
        <f>SUM(B30,C30,I30)/3</f>
        <v>0</v>
      </c>
      <c r="K30" s="39"/>
      <c r="L30" s="2"/>
      <c r="M30" s="24" t="str">
        <f t="shared" si="1"/>
        <v>F9</v>
      </c>
      <c r="N30" s="25" t="str">
        <f t="shared" si="2"/>
        <v>FAIL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1"/>
        <v>F9</v>
      </c>
      <c r="N31" s="25" t="str">
        <f t="shared" si="2"/>
        <v>FAIL</v>
      </c>
      <c r="O31" s="2"/>
    </row>
    <row r="32" spans="1:26" ht="15.75" hidden="1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>
        <f>SUM(D32:H32)</f>
        <v>0</v>
      </c>
      <c r="J32" s="39">
        <f>SUM(B32,C32,I32)/3</f>
        <v>0</v>
      </c>
      <c r="K32" s="39"/>
      <c r="L32" s="2"/>
      <c r="M32" s="24" t="str">
        <f t="shared" si="1"/>
        <v>F9</v>
      </c>
      <c r="N32" s="25" t="str">
        <f t="shared" si="2"/>
        <v>FAIL</v>
      </c>
      <c r="O32" s="2"/>
    </row>
    <row r="33" spans="1:16" ht="15.75" thickBot="1" x14ac:dyDescent="0.25">
      <c r="A33" s="51" t="s">
        <v>28</v>
      </c>
      <c r="B33" s="44">
        <v>53.6</v>
      </c>
      <c r="C33" s="44">
        <v>73.099999999999994</v>
      </c>
      <c r="D33" s="52">
        <v>7</v>
      </c>
      <c r="E33" s="52">
        <v>4</v>
      </c>
      <c r="F33" s="53">
        <v>7.0833333329999997</v>
      </c>
      <c r="G33" s="52">
        <v>5</v>
      </c>
      <c r="H33" s="45">
        <v>46.8</v>
      </c>
      <c r="I33" s="39">
        <f>SUM(D33:H33)</f>
        <v>69.883333332999996</v>
      </c>
      <c r="J33" s="39">
        <f>SUM(B33,C33,I33)/3</f>
        <v>65.527777777666657</v>
      </c>
      <c r="K33" s="39"/>
      <c r="L33" s="2"/>
      <c r="M33" s="24" t="str">
        <f t="shared" si="1"/>
        <v>B3</v>
      </c>
      <c r="N33" s="25" t="str">
        <f t="shared" si="2"/>
        <v>GOOD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1"/>
        <v>F9</v>
      </c>
      <c r="N34" s="25" t="str">
        <f t="shared" si="2"/>
        <v>FAIL</v>
      </c>
      <c r="O34" s="2"/>
    </row>
    <row r="35" spans="1:16" ht="15.75" thickBot="1" x14ac:dyDescent="0.25">
      <c r="A35" s="51" t="s">
        <v>30</v>
      </c>
      <c r="B35" s="44">
        <v>92.4</v>
      </c>
      <c r="C35" s="44">
        <v>87</v>
      </c>
      <c r="D35" s="52">
        <v>6.6</v>
      </c>
      <c r="E35" s="52">
        <v>2.7</v>
      </c>
      <c r="F35" s="53">
        <v>7.3333333329999997</v>
      </c>
      <c r="G35" s="52">
        <v>4</v>
      </c>
      <c r="H35" s="48">
        <v>56</v>
      </c>
      <c r="I35" s="39">
        <f>SUM(D35:H35)</f>
        <v>76.633333332999996</v>
      </c>
      <c r="J35" s="39">
        <f>SUM(B35,C35,I35)/3</f>
        <v>85.34444444433332</v>
      </c>
      <c r="K35" s="39">
        <v>42.6</v>
      </c>
      <c r="L35" s="2">
        <v>85.3</v>
      </c>
      <c r="M35" s="24" t="str">
        <f t="shared" si="1"/>
        <v>A1</v>
      </c>
      <c r="N35" s="25" t="str">
        <f t="shared" si="2"/>
        <v>EXCELLENT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619.19689153449997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</row>
    <row r="41" spans="1:16" ht="15.75" thickBot="1" x14ac:dyDescent="0.25">
      <c r="A41" s="17" t="s">
        <v>48</v>
      </c>
      <c r="B41" s="6"/>
      <c r="C41" s="6"/>
      <c r="D41" s="6">
        <f>SUM(J15:J37)/9</f>
        <v>68.799654614944444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5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5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3.3384620009631307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3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4</v>
      </c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2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4</v>
      </c>
      <c r="P48" s="47"/>
    </row>
    <row r="49" spans="1:16" ht="15.75" thickBot="1" x14ac:dyDescent="0.25">
      <c r="A49" s="16" t="s">
        <v>54</v>
      </c>
      <c r="B49" s="6"/>
      <c r="C49" s="6"/>
      <c r="D49" s="6">
        <v>114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2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4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4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44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8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8C41-1E20-F441-A0E3-9900F428D214}">
  <dimension ref="A1:Z55"/>
  <sheetViews>
    <sheetView topLeftCell="A18" workbookViewId="0">
      <selection activeCell="D53" sqref="D53:O53"/>
    </sheetView>
  </sheetViews>
  <sheetFormatPr defaultRowHeight="15" x14ac:dyDescent="0.2"/>
  <cols>
    <col min="1" max="1" width="27.57421875" customWidth="1"/>
    <col min="2" max="2" width="4.5703125" bestFit="1" customWidth="1"/>
    <col min="3" max="3" width="5.6484375" bestFit="1" customWidth="1"/>
    <col min="4" max="4" width="4.83984375" customWidth="1"/>
    <col min="5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91</v>
      </c>
      <c r="B10" s="63"/>
      <c r="C10" s="63"/>
      <c r="D10" s="63"/>
      <c r="E10" s="63"/>
      <c r="F10" s="63"/>
      <c r="G10" s="63"/>
      <c r="H10" s="63"/>
      <c r="I10" s="63"/>
      <c r="J10" s="63" t="s">
        <v>90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thickBot="1" x14ac:dyDescent="0.25">
      <c r="A15" s="21" t="s">
        <v>8</v>
      </c>
      <c r="B15" s="44">
        <v>41</v>
      </c>
      <c r="C15" s="44">
        <v>56.5</v>
      </c>
      <c r="D15" s="52">
        <v>7.625</v>
      </c>
      <c r="E15" s="52">
        <v>3.3</v>
      </c>
      <c r="F15" s="53">
        <v>6.1666666670000003</v>
      </c>
      <c r="G15" s="52">
        <v>4</v>
      </c>
      <c r="H15" s="45">
        <v>45.5</v>
      </c>
      <c r="I15" s="39">
        <f>SUM(D15:H15)</f>
        <v>66.591666666999998</v>
      </c>
      <c r="J15" s="39">
        <f>SUM(B15,C15,I15)/3</f>
        <v>54.69722222233333</v>
      </c>
      <c r="K15" s="39"/>
      <c r="L15" s="24"/>
      <c r="M15" s="24" t="str">
        <f>IF(J15&gt;=75,"A1",IF(J15&gt;=70,"B2",IF(J15&gt;=65,"B3",IF(J15&gt;=60,"C4",IF(J15&gt;=55,"C5",IF(J15&gt;=50,"C6",IF(J15&gt;=45,"D7",IF(J15&gt;=40,"E8","F9"))))))))</f>
        <v>C6</v>
      </c>
      <c r="N15" s="25" t="str">
        <f>IF(J15&gt;=75,"EXCELLENT",IF(J15&gt;=70,"VERY GOOD",IF(J15&gt;=65,"GOOD",IF(J15&gt;=50,"CREDIT",IF(J15&gt;=40,"PASS","FAIL")))))</f>
        <v>CREDIT</v>
      </c>
      <c r="O15" s="25"/>
    </row>
    <row r="16" spans="1:15" ht="15.75" thickBot="1" x14ac:dyDescent="0.25">
      <c r="A16" s="51" t="s">
        <v>11</v>
      </c>
      <c r="B16" s="44">
        <v>56</v>
      </c>
      <c r="C16" s="44">
        <v>59.2</v>
      </c>
      <c r="D16" s="52">
        <v>6.4</v>
      </c>
      <c r="E16" s="52">
        <v>4.4000000000000004</v>
      </c>
      <c r="F16" s="53">
        <v>5.75</v>
      </c>
      <c r="G16" s="52">
        <v>3</v>
      </c>
      <c r="H16" s="48">
        <v>41</v>
      </c>
      <c r="I16" s="39">
        <f t="shared" ref="I16:I35" si="0">SUM(D16:H16)</f>
        <v>60.55</v>
      </c>
      <c r="J16" s="39">
        <f>SUM(B16,C16,I16)/3</f>
        <v>58.583333333333336</v>
      </c>
      <c r="K16" s="39">
        <v>40.700000000000003</v>
      </c>
      <c r="L16" s="2">
        <v>80.2</v>
      </c>
      <c r="M16" s="24" t="str">
        <f t="shared" ref="M16:M35" si="1">IF(J16&gt;=75,"A1",IF(J16&gt;=70,"B2",IF(J16&gt;=65,"B3",IF(J16&gt;=60,"C4",IF(J16&gt;=55,"C5",IF(J16&gt;=50,"C6",IF(J16&gt;=45,"D7",IF(J16&gt;=40,"E8","F9"))))))))</f>
        <v>C5</v>
      </c>
      <c r="N16" s="25" t="str">
        <f t="shared" ref="N16:N35" si="2">IF(J16&gt;=75,"EXCELLENT",IF(J16&gt;=70,"VERY GOOD",IF(J16&gt;=65,"GOOD",IF(J16&gt;=50,"CREDIT",IF(J16&gt;=40,"PASS","FAIL")))))</f>
        <v>CREDIT</v>
      </c>
      <c r="O16" s="2"/>
    </row>
    <row r="17" spans="1:26" ht="15.75" thickBot="1" x14ac:dyDescent="0.25">
      <c r="A17" s="51" t="s">
        <v>12</v>
      </c>
      <c r="B17" s="44">
        <v>79.099999999999994</v>
      </c>
      <c r="C17" s="44">
        <v>71.8</v>
      </c>
      <c r="D17" s="52">
        <v>10</v>
      </c>
      <c r="E17" s="52">
        <v>2.5</v>
      </c>
      <c r="F17" s="53">
        <v>9.0833333330000006</v>
      </c>
      <c r="G17" s="52">
        <v>4</v>
      </c>
      <c r="H17" s="45">
        <v>57</v>
      </c>
      <c r="I17" s="39">
        <f t="shared" si="0"/>
        <v>82.583333332999999</v>
      </c>
      <c r="J17" s="39">
        <f>SUM(B17,C17,I17)/3</f>
        <v>77.827777777666654</v>
      </c>
      <c r="K17" s="39">
        <v>48.3</v>
      </c>
      <c r="L17" s="2">
        <v>88.3</v>
      </c>
      <c r="M17" s="24" t="str">
        <f t="shared" si="1"/>
        <v>A1</v>
      </c>
      <c r="N17" s="25" t="str">
        <f t="shared" si="2"/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CREDIT</v>
      </c>
    </row>
    <row r="18" spans="1:26" ht="15.75" thickBot="1" x14ac:dyDescent="0.25">
      <c r="A18" s="51" t="s">
        <v>13</v>
      </c>
      <c r="B18" s="44">
        <v>51.6</v>
      </c>
      <c r="C18" s="44">
        <v>49.2</v>
      </c>
      <c r="D18" s="52">
        <v>6.6</v>
      </c>
      <c r="E18" s="52">
        <v>4.0999999999999996</v>
      </c>
      <c r="F18" s="53">
        <v>7.1666666670000003</v>
      </c>
      <c r="G18" s="52">
        <v>0</v>
      </c>
      <c r="H18" s="45">
        <v>31</v>
      </c>
      <c r="I18" s="39">
        <f t="shared" si="0"/>
        <v>48.866666667000004</v>
      </c>
      <c r="J18" s="39">
        <f>SUM(B18,C18,I18)/3</f>
        <v>49.888888889000008</v>
      </c>
      <c r="K18" s="39">
        <v>37.700000000000003</v>
      </c>
      <c r="L18" s="2">
        <v>82.4</v>
      </c>
      <c r="M18" s="24" t="str">
        <f t="shared" si="1"/>
        <v>D7</v>
      </c>
      <c r="N18" s="25" t="str">
        <f t="shared" si="2"/>
        <v>PASS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/>
      <c r="J19" s="39">
        <f>SUM(B19,C19,I19)/3</f>
        <v>0</v>
      </c>
      <c r="K19" s="39"/>
      <c r="L19" s="2"/>
      <c r="M19" s="24" t="str">
        <f t="shared" si="1"/>
        <v>F9</v>
      </c>
      <c r="N19" s="25" t="str">
        <f t="shared" si="2"/>
        <v>FAIL</v>
      </c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/>
      <c r="J20" s="39">
        <f>SUM(B20,C20,I20)/3</f>
        <v>0</v>
      </c>
      <c r="K20" s="39"/>
      <c r="L20" s="2"/>
      <c r="M20" s="24" t="str">
        <f t="shared" si="1"/>
        <v>F9</v>
      </c>
      <c r="N20" s="25" t="str">
        <f t="shared" si="2"/>
        <v>FAIL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 t="shared" si="0"/>
        <v>0</v>
      </c>
      <c r="J21" s="39">
        <f>SUM(B21,C21,I21)/3</f>
        <v>0</v>
      </c>
      <c r="K21" s="39"/>
      <c r="L21" s="2"/>
      <c r="M21" s="24" t="str">
        <f t="shared" si="1"/>
        <v>F9</v>
      </c>
      <c r="N21" s="25" t="str">
        <f t="shared" si="2"/>
        <v>FAIL</v>
      </c>
      <c r="O21" s="2"/>
    </row>
    <row r="22" spans="1:26" ht="15.75" thickBot="1" x14ac:dyDescent="0.25">
      <c r="A22" s="51" t="s">
        <v>17</v>
      </c>
      <c r="B22" s="44">
        <v>32.700000000000003</v>
      </c>
      <c r="C22" s="44">
        <v>47.7</v>
      </c>
      <c r="D22" s="52">
        <v>10</v>
      </c>
      <c r="E22" s="52">
        <v>4</v>
      </c>
      <c r="F22" s="53">
        <v>5.7777777779999999</v>
      </c>
      <c r="G22" s="52">
        <v>5</v>
      </c>
      <c r="H22" s="48">
        <v>37.5</v>
      </c>
      <c r="I22" s="39">
        <f t="shared" si="0"/>
        <v>62.277777778000001</v>
      </c>
      <c r="J22" s="39">
        <f>SUM(B22,C22,I22)/3</f>
        <v>47.559259259333338</v>
      </c>
      <c r="K22" s="39">
        <v>30.3</v>
      </c>
      <c r="L22" s="2">
        <v>69.2</v>
      </c>
      <c r="M22" s="24" t="str">
        <f t="shared" si="1"/>
        <v>D7</v>
      </c>
      <c r="N22" s="25" t="str">
        <f t="shared" si="2"/>
        <v>PASS</v>
      </c>
      <c r="O22" s="2"/>
    </row>
    <row r="23" spans="1:26" ht="15.75" thickBot="1" x14ac:dyDescent="0.25">
      <c r="A23" s="51" t="s">
        <v>18</v>
      </c>
      <c r="B23" s="44">
        <v>56.9</v>
      </c>
      <c r="C23" s="44">
        <v>39</v>
      </c>
      <c r="D23" s="52">
        <v>8</v>
      </c>
      <c r="E23" s="52">
        <v>3.5</v>
      </c>
      <c r="F23" s="53">
        <v>8.6666666669999994</v>
      </c>
      <c r="G23" s="52">
        <v>5</v>
      </c>
      <c r="H23" s="45">
        <v>25</v>
      </c>
      <c r="I23" s="39">
        <f t="shared" si="0"/>
        <v>50.166666667000001</v>
      </c>
      <c r="J23" s="39">
        <f>SUM(B23,C23,I23)/3</f>
        <v>48.688888888999998</v>
      </c>
      <c r="K23" s="39">
        <v>31.3</v>
      </c>
      <c r="L23" s="2">
        <v>58.4</v>
      </c>
      <c r="M23" s="24" t="str">
        <f t="shared" si="1"/>
        <v>D7</v>
      </c>
      <c r="N23" s="25" t="str">
        <f t="shared" si="2"/>
        <v>PASS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/>
      <c r="J24" s="39">
        <f>SUM(B24,C24,I24)/3</f>
        <v>0</v>
      </c>
      <c r="K24" s="39"/>
      <c r="L24" s="2"/>
      <c r="M24" s="24" t="str">
        <f t="shared" si="1"/>
        <v>F9</v>
      </c>
      <c r="N24" s="25" t="str">
        <f t="shared" si="2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/>
      <c r="J25" s="39">
        <f>SUM(B25,C25,I25)/3</f>
        <v>0</v>
      </c>
      <c r="K25" s="39"/>
      <c r="L25" s="2"/>
      <c r="M25" s="24" t="str">
        <f t="shared" si="1"/>
        <v>F9</v>
      </c>
      <c r="N25" s="25" t="str">
        <f t="shared" si="2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 t="shared" si="0"/>
        <v>0</v>
      </c>
      <c r="J26" s="39">
        <f>SUM(B26,C26,I26)/3</f>
        <v>0</v>
      </c>
      <c r="K26" s="39"/>
      <c r="L26" s="2"/>
      <c r="M26" s="24" t="str">
        <f t="shared" si="1"/>
        <v>F9</v>
      </c>
      <c r="N26" s="25" t="str">
        <f t="shared" si="2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/>
      <c r="J27" s="39">
        <f>SUM(B27,C27,I27)/3</f>
        <v>0</v>
      </c>
      <c r="K27" s="39"/>
      <c r="L27" s="2"/>
      <c r="M27" s="24" t="str">
        <f t="shared" si="1"/>
        <v>F9</v>
      </c>
      <c r="N27" s="25" t="str">
        <f t="shared" si="2"/>
        <v>FAIL</v>
      </c>
      <c r="O27" s="2"/>
    </row>
    <row r="28" spans="1:26" ht="15.75" thickBot="1" x14ac:dyDescent="0.25">
      <c r="A28" s="51" t="s">
        <v>23</v>
      </c>
      <c r="B28" s="44">
        <v>37.799999999999997</v>
      </c>
      <c r="C28" s="44">
        <v>22.5</v>
      </c>
      <c r="D28" s="52">
        <v>7.8571428570000004</v>
      </c>
      <c r="E28" s="52">
        <v>1.4166666670000001</v>
      </c>
      <c r="F28" s="53">
        <v>4.8333333329999997</v>
      </c>
      <c r="G28" s="52">
        <v>5</v>
      </c>
      <c r="H28" s="45">
        <v>8.1999999999999993</v>
      </c>
      <c r="I28" s="39">
        <f t="shared" si="0"/>
        <v>27.307142856999999</v>
      </c>
      <c r="J28" s="39">
        <f>SUM(B28,C28,I28)/3</f>
        <v>29.202380952333332</v>
      </c>
      <c r="K28" s="39"/>
      <c r="L28" s="2"/>
      <c r="M28" s="24" t="str">
        <f t="shared" si="1"/>
        <v>F9</v>
      </c>
      <c r="N28" s="25" t="str">
        <f t="shared" si="2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/>
      <c r="J29" s="39">
        <f>SUM(B29,C29,I29)/3</f>
        <v>0</v>
      </c>
      <c r="K29" s="39"/>
      <c r="L29" s="2"/>
      <c r="M29" s="24" t="str">
        <f t="shared" si="1"/>
        <v>F9</v>
      </c>
      <c r="N29" s="25" t="str">
        <f t="shared" si="2"/>
        <v>FAIL</v>
      </c>
      <c r="O29" s="2"/>
    </row>
    <row r="30" spans="1:26" ht="15.75" hidden="1" thickBot="1" x14ac:dyDescent="0.25">
      <c r="A30" s="51" t="s">
        <v>25</v>
      </c>
      <c r="B30" s="44"/>
      <c r="C30" s="44"/>
      <c r="D30" s="44"/>
      <c r="E30" s="44"/>
      <c r="F30" s="44"/>
      <c r="G30" s="45"/>
      <c r="H30" s="45"/>
      <c r="I30" s="39"/>
      <c r="J30" s="39">
        <f>SUM(B30,C30,I30)/3</f>
        <v>0</v>
      </c>
      <c r="K30" s="39"/>
      <c r="L30" s="2"/>
      <c r="M30" s="24" t="str">
        <f t="shared" si="1"/>
        <v>F9</v>
      </c>
      <c r="N30" s="25" t="str">
        <f t="shared" si="2"/>
        <v>FAIL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 t="shared" si="0"/>
        <v>0</v>
      </c>
      <c r="J31" s="39">
        <f>SUM(B31,C31,I31)/3</f>
        <v>0</v>
      </c>
      <c r="K31" s="39"/>
      <c r="L31" s="2"/>
      <c r="M31" s="24" t="str">
        <f t="shared" si="1"/>
        <v>F9</v>
      </c>
      <c r="N31" s="25" t="str">
        <f t="shared" si="2"/>
        <v>FAIL</v>
      </c>
      <c r="O31" s="2"/>
    </row>
    <row r="32" spans="1:26" ht="15.75" hidden="1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/>
      <c r="J32" s="39">
        <f>SUM(B32,C32,I32)/3</f>
        <v>0</v>
      </c>
      <c r="K32" s="39"/>
      <c r="L32" s="2"/>
      <c r="M32" s="24" t="str">
        <f t="shared" si="1"/>
        <v>F9</v>
      </c>
      <c r="N32" s="25" t="str">
        <f t="shared" si="2"/>
        <v>FAIL</v>
      </c>
      <c r="O32" s="2"/>
    </row>
    <row r="33" spans="1:16" ht="15.75" thickBot="1" x14ac:dyDescent="0.25">
      <c r="A33" s="51" t="s">
        <v>28</v>
      </c>
      <c r="B33" s="44">
        <v>27.8</v>
      </c>
      <c r="C33" s="44">
        <v>41</v>
      </c>
      <c r="D33" s="52">
        <v>7</v>
      </c>
      <c r="E33" s="52">
        <v>2.5833333330000001</v>
      </c>
      <c r="F33" s="53">
        <v>2.3333333330000001</v>
      </c>
      <c r="G33" s="52">
        <v>5</v>
      </c>
      <c r="H33" s="45">
        <v>20.9</v>
      </c>
      <c r="I33" s="39">
        <f t="shared" si="0"/>
        <v>37.816666666000003</v>
      </c>
      <c r="J33" s="39">
        <f>SUM(B33,C33,I33)/3</f>
        <v>35.538888888666669</v>
      </c>
      <c r="K33" s="39"/>
      <c r="L33" s="2"/>
      <c r="M33" s="24" t="str">
        <f t="shared" si="1"/>
        <v>F9</v>
      </c>
      <c r="N33" s="25" t="str">
        <f t="shared" si="2"/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/>
      <c r="J34" s="39">
        <f>SUM(B34,C34,I34)/3</f>
        <v>0</v>
      </c>
      <c r="K34" s="39"/>
      <c r="L34" s="2"/>
      <c r="M34" s="24" t="str">
        <f t="shared" si="1"/>
        <v>F9</v>
      </c>
      <c r="N34" s="25" t="str">
        <f t="shared" si="2"/>
        <v>FAIL</v>
      </c>
      <c r="O34" s="2"/>
    </row>
    <row r="35" spans="1:16" ht="15.75" thickBot="1" x14ac:dyDescent="0.25">
      <c r="A35" s="51" t="s">
        <v>30</v>
      </c>
      <c r="B35" s="44">
        <v>71.5</v>
      </c>
      <c r="C35" s="44">
        <v>51.9</v>
      </c>
      <c r="D35" s="52">
        <v>5.6</v>
      </c>
      <c r="E35" s="52">
        <v>1.8</v>
      </c>
      <c r="F35" s="53">
        <v>6.3333333329999997</v>
      </c>
      <c r="G35" s="52">
        <v>4</v>
      </c>
      <c r="H35" s="48">
        <v>28</v>
      </c>
      <c r="I35" s="39">
        <f t="shared" si="0"/>
        <v>45.733333332999997</v>
      </c>
      <c r="J35" s="39">
        <f>SUM(B35,C35,I35)/3</f>
        <v>56.377777777666665</v>
      </c>
      <c r="K35" s="39">
        <v>42.6</v>
      </c>
      <c r="L35" s="2">
        <v>85.3</v>
      </c>
      <c r="M35" s="24" t="str">
        <f t="shared" si="1"/>
        <v>C5</v>
      </c>
      <c r="N35" s="25" t="str">
        <f t="shared" si="2"/>
        <v>CREDIT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458.36441798933333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3</v>
      </c>
    </row>
    <row r="41" spans="1:16" ht="15.75" thickBot="1" x14ac:dyDescent="0.25">
      <c r="A41" s="17" t="s">
        <v>48</v>
      </c>
      <c r="B41" s="6"/>
      <c r="C41" s="6"/>
      <c r="D41" s="6">
        <f>SUM(J15:J37)/9</f>
        <v>50.92937977659259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2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2.3343656806156572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3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4</v>
      </c>
      <c r="P48" s="47"/>
    </row>
    <row r="49" spans="1:16" ht="15.75" thickBot="1" x14ac:dyDescent="0.25">
      <c r="A49" s="16" t="s">
        <v>54</v>
      </c>
      <c r="B49" s="6"/>
      <c r="C49" s="6"/>
      <c r="D49" s="6">
        <v>110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38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 ON TRIAL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955A-7CC6-BF4F-92CE-3F387DAFD8E2}">
  <dimension ref="A1:Z55"/>
  <sheetViews>
    <sheetView topLeftCell="F1" workbookViewId="0">
      <selection activeCell="C51" sqref="C51:H51"/>
    </sheetView>
  </sheetViews>
  <sheetFormatPr defaultRowHeight="15" x14ac:dyDescent="0.2"/>
  <cols>
    <col min="1" max="1" width="27.57421875" customWidth="1"/>
    <col min="2" max="3" width="4.5703125" bestFit="1" customWidth="1"/>
    <col min="4" max="4" width="8.7421875" customWidth="1"/>
    <col min="5" max="5" width="5.6484375" customWidth="1"/>
    <col min="6" max="6" width="11.97265625" bestFit="1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93</v>
      </c>
      <c r="B10" s="63"/>
      <c r="C10" s="63"/>
      <c r="D10" s="63"/>
      <c r="E10" s="63"/>
      <c r="F10" s="63"/>
      <c r="G10" s="63"/>
      <c r="H10" s="63"/>
      <c r="I10" s="63"/>
      <c r="J10" s="63" t="s">
        <v>92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/>
      <c r="C17" s="44"/>
      <c r="D17" s="48"/>
      <c r="E17" s="48"/>
      <c r="F17" s="48"/>
      <c r="G17" s="48"/>
      <c r="H17" s="45"/>
      <c r="I17" s="39">
        <f t="shared" si="0"/>
        <v>0</v>
      </c>
      <c r="J17" s="39">
        <f t="shared" si="1"/>
        <v>0</v>
      </c>
      <c r="K17" s="39"/>
      <c r="L17" s="2"/>
      <c r="M17" s="24" t="str">
        <f t="shared" si="2"/>
        <v>F</v>
      </c>
      <c r="N17" s="25" t="str">
        <f t="shared" si="3"/>
        <v>FAIL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 t="shared" si="0"/>
        <v>0</v>
      </c>
      <c r="J18" s="39">
        <f t="shared" si="1"/>
        <v>0</v>
      </c>
      <c r="K18" s="39"/>
      <c r="L18" s="2"/>
      <c r="M18" s="24" t="str">
        <f t="shared" si="2"/>
        <v>F</v>
      </c>
      <c r="N18" s="25" t="str">
        <f t="shared" si="3"/>
        <v>FAIL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/>
      <c r="J19" s="39"/>
      <c r="K19" s="39"/>
      <c r="L19" s="2"/>
      <c r="M19" s="24"/>
      <c r="N19" s="25"/>
      <c r="O19" s="2"/>
    </row>
    <row r="20" spans="1:26" ht="15.75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/>
      <c r="J20" s="39"/>
      <c r="K20" s="39"/>
      <c r="L20" s="2"/>
      <c r="M20" s="24"/>
      <c r="N20" s="25"/>
      <c r="O20" s="2"/>
    </row>
    <row r="21" spans="1:26" ht="15.75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2"/>
        <v>F</v>
      </c>
      <c r="N21" s="25" t="str">
        <f t="shared" si="3"/>
        <v>FAIL</v>
      </c>
      <c r="O21" s="2"/>
    </row>
    <row r="22" spans="1:26" ht="15.75" thickBot="1" x14ac:dyDescent="0.25">
      <c r="A22" s="51" t="s">
        <v>17</v>
      </c>
      <c r="B22" s="44"/>
      <c r="C22" s="44"/>
      <c r="D22" s="48"/>
      <c r="E22" s="48"/>
      <c r="F22" s="48"/>
      <c r="G22" s="48"/>
      <c r="H22" s="48"/>
      <c r="I22" s="39">
        <f t="shared" si="0"/>
        <v>0</v>
      </c>
      <c r="J22" s="39">
        <f t="shared" si="1"/>
        <v>0</v>
      </c>
      <c r="K22" s="39"/>
      <c r="L22" s="2"/>
      <c r="M22" s="24" t="str">
        <f t="shared" si="2"/>
        <v>F</v>
      </c>
      <c r="N22" s="25" t="str">
        <f t="shared" si="3"/>
        <v>FAIL</v>
      </c>
      <c r="O22" s="2"/>
    </row>
    <row r="23" spans="1:26" ht="15.75" thickBot="1" x14ac:dyDescent="0.25">
      <c r="A23" s="51" t="s">
        <v>18</v>
      </c>
      <c r="B23" s="44"/>
      <c r="C23" s="44"/>
      <c r="D23" s="48"/>
      <c r="E23" s="48"/>
      <c r="F23" s="48"/>
      <c r="G23" s="48"/>
      <c r="H23" s="45"/>
      <c r="I23" s="39">
        <f t="shared" si="0"/>
        <v>0</v>
      </c>
      <c r="J23" s="39">
        <f t="shared" si="1"/>
        <v>0</v>
      </c>
      <c r="K23" s="39"/>
      <c r="L23" s="2"/>
      <c r="M23" s="24" t="str">
        <f t="shared" si="2"/>
        <v>F</v>
      </c>
      <c r="N23" s="25" t="str">
        <f t="shared" si="3"/>
        <v>FAIL</v>
      </c>
      <c r="O23" s="2"/>
    </row>
    <row r="24" spans="1:26" ht="15.75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/>
      <c r="J24" s="39"/>
      <c r="K24" s="39"/>
      <c r="L24" s="2"/>
      <c r="M24" s="24"/>
      <c r="N24" s="25"/>
      <c r="O24" s="2"/>
    </row>
    <row r="25" spans="1:26" ht="15.75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/>
      <c r="J25" s="39"/>
      <c r="K25" s="39"/>
      <c r="L25" s="2"/>
      <c r="M25" s="24"/>
      <c r="N25" s="25"/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2"/>
        <v>F</v>
      </c>
      <c r="N26" s="25" t="str">
        <f t="shared" si="3"/>
        <v>FAIL</v>
      </c>
      <c r="O26" s="2"/>
    </row>
    <row r="27" spans="1:26" ht="15.75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/>
      <c r="J27" s="39">
        <f t="shared" si="1"/>
        <v>0</v>
      </c>
      <c r="K27" s="39"/>
      <c r="L27" s="2"/>
      <c r="M27" s="24" t="str">
        <f t="shared" si="2"/>
        <v>F</v>
      </c>
      <c r="N27" s="25" t="str">
        <f t="shared" si="3"/>
        <v>FAIL</v>
      </c>
      <c r="O27" s="2"/>
    </row>
    <row r="28" spans="1:26" ht="15.75" thickBot="1" x14ac:dyDescent="0.25">
      <c r="A28" s="51" t="s">
        <v>23</v>
      </c>
      <c r="B28" s="44"/>
      <c r="C28" s="44"/>
      <c r="D28" s="44"/>
      <c r="E28" s="44"/>
      <c r="F28" s="44"/>
      <c r="G28" s="45"/>
      <c r="H28" s="45"/>
      <c r="I28" s="39">
        <f t="shared" si="0"/>
        <v>0</v>
      </c>
      <c r="J28" s="39">
        <f t="shared" si="1"/>
        <v>0</v>
      </c>
      <c r="K28" s="39"/>
      <c r="L28" s="2"/>
      <c r="M28" s="24" t="str">
        <f t="shared" si="2"/>
        <v>F</v>
      </c>
      <c r="N28" s="25" t="str">
        <f t="shared" si="3"/>
        <v>FAIL</v>
      </c>
      <c r="O28" s="2"/>
    </row>
    <row r="29" spans="1:26" ht="15.75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/>
      <c r="J29" s="39"/>
      <c r="K29" s="39"/>
      <c r="L29" s="2"/>
      <c r="M29" s="24"/>
      <c r="N29" s="25"/>
      <c r="O29" s="2"/>
    </row>
    <row r="30" spans="1:26" ht="15.75" thickBot="1" x14ac:dyDescent="0.25">
      <c r="A30" s="51" t="s">
        <v>25</v>
      </c>
      <c r="B30" s="44"/>
      <c r="C30" s="44"/>
      <c r="D30" s="44"/>
      <c r="E30" s="44"/>
      <c r="F30" s="44"/>
      <c r="G30" s="45"/>
      <c r="H30" s="45"/>
      <c r="I30" s="39"/>
      <c r="J30" s="39"/>
      <c r="K30" s="39"/>
      <c r="L30" s="2"/>
      <c r="M30" s="24"/>
      <c r="N30" s="25"/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2"/>
        <v>F</v>
      </c>
      <c r="N31" s="25" t="str">
        <f t="shared" si="3"/>
        <v>FAIL</v>
      </c>
      <c r="O31" s="2"/>
    </row>
    <row r="32" spans="1:26" ht="15.75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/>
      <c r="J32" s="39"/>
      <c r="K32" s="39"/>
      <c r="L32" s="2"/>
      <c r="M32" s="24"/>
      <c r="N32" s="25"/>
      <c r="O32" s="2"/>
    </row>
    <row r="33" spans="1:16" ht="15.75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 t="shared" si="0"/>
        <v>0</v>
      </c>
      <c r="J33" s="39">
        <f t="shared" si="1"/>
        <v>0</v>
      </c>
      <c r="K33" s="39"/>
      <c r="L33" s="2"/>
      <c r="M33" s="24" t="str">
        <f t="shared" si="2"/>
        <v>F</v>
      </c>
      <c r="N33" s="25" t="str">
        <f t="shared" si="3"/>
        <v>FAIL</v>
      </c>
      <c r="O33" s="2"/>
    </row>
    <row r="34" spans="1:16" ht="15.75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/>
      <c r="J34" s="39"/>
      <c r="K34" s="39"/>
      <c r="L34" s="2"/>
      <c r="M34" s="24" t="str">
        <f t="shared" si="2"/>
        <v>F</v>
      </c>
      <c r="N34" s="25" t="str">
        <f>IF(J34&gt;=89.5,"EXCELLENT",IF(J34&gt;=79.5,"VERY GOOD",IF(J34&gt;=69.5,"GOOD",IF(J34&gt;=59.5,"CREDIT",IF(J34&gt;=54.5,"CREDIT",IF(J34&gt;=49.5,"CREDIT",IF(J34&gt;=44.5,"PASS",IF(J34&gt;=39.5,"PASS","FAIL"))))))))</f>
        <v>FAIL</v>
      </c>
      <c r="O34" s="2"/>
    </row>
    <row r="35" spans="1:16" ht="15.75" thickBot="1" x14ac:dyDescent="0.25">
      <c r="A35" s="51" t="s">
        <v>30</v>
      </c>
      <c r="B35" s="44"/>
      <c r="C35" s="44"/>
      <c r="D35" s="48"/>
      <c r="E35" s="48"/>
      <c r="F35" s="48"/>
      <c r="G35" s="48"/>
      <c r="H35" s="48"/>
      <c r="I35" s="39">
        <f t="shared" si="0"/>
        <v>0</v>
      </c>
      <c r="J35" s="39">
        <f t="shared" si="1"/>
        <v>0</v>
      </c>
      <c r="K35" s="39"/>
      <c r="L35" s="2"/>
      <c r="M35" s="24" t="str">
        <f t="shared" si="2"/>
        <v>F</v>
      </c>
      <c r="N35" s="25" t="str">
        <f t="shared" si="3"/>
        <v>FAIL</v>
      </c>
      <c r="O35" s="2"/>
    </row>
    <row r="36" spans="1:16" ht="15.75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0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/>
    </row>
    <row r="41" spans="1:16" ht="15.75" thickBot="1" x14ac:dyDescent="0.25">
      <c r="A41" s="17" t="s">
        <v>48</v>
      </c>
      <c r="B41" s="6"/>
      <c r="C41" s="6"/>
      <c r="D41" s="6">
        <f>SUM(J15:J37)/9</f>
        <v>0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/>
    </row>
    <row r="42" spans="1:16" ht="15.75" thickBot="1" x14ac:dyDescent="0.25">
      <c r="A42" s="11"/>
      <c r="K42" s="58" t="s">
        <v>55</v>
      </c>
      <c r="L42" s="58"/>
      <c r="M42" s="58"/>
      <c r="N42" s="58"/>
      <c r="O42" s="20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/>
    </row>
    <row r="44" spans="1:16" ht="15.75" thickBot="1" x14ac:dyDescent="0.25">
      <c r="A44" s="11"/>
      <c r="K44" s="58" t="s">
        <v>37</v>
      </c>
      <c r="L44" s="58"/>
      <c r="M44" s="58"/>
      <c r="N44" s="58"/>
      <c r="O44" s="20"/>
    </row>
    <row r="45" spans="1:16" ht="15.75" thickBot="1" x14ac:dyDescent="0.25">
      <c r="A45" s="17" t="s">
        <v>49</v>
      </c>
      <c r="B45" s="6"/>
      <c r="C45" s="6"/>
      <c r="D45" s="6">
        <f>SUM(J15*3,J16*3,J17*2,J18*3,J19*3,J20*4,J21*2,J22*3,J23*4,J24*4,J25*3,J28*5,J29*3,J30*3,J31*3,J32*3,J33*3,J34*3,J35*2,J37*3)/660</f>
        <v>0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/>
    </row>
    <row r="47" spans="1:16" ht="15.75" thickBot="1" x14ac:dyDescent="0.25">
      <c r="A47" s="15" t="s">
        <v>64</v>
      </c>
      <c r="B47" s="6"/>
      <c r="C47" s="6"/>
      <c r="D47" s="6">
        <v>124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/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/>
      <c r="P48" s="47"/>
    </row>
    <row r="49" spans="1:16" ht="15.75" thickBot="1" x14ac:dyDescent="0.25">
      <c r="A49" s="16" t="s">
        <v>54</v>
      </c>
      <c r="B49" s="6"/>
      <c r="C49" s="6"/>
      <c r="D49" s="6"/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/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/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0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TRIAL,BUT MUST ATTEND INTERVENTION CLASS","TO REPEAT SS2"))</f>
        <v>TO REPEAT SS2</v>
      </c>
      <c r="E53" s="59"/>
      <c r="F53" s="59"/>
      <c r="G53" s="59"/>
      <c r="H53" s="59"/>
      <c r="I53" s="59"/>
      <c r="J53" s="59"/>
      <c r="K53" s="19"/>
      <c r="L53" s="19"/>
      <c r="M53" s="19"/>
      <c r="N53" s="19"/>
      <c r="O53" s="1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J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1164-23A5-854A-8C19-F88DB82552F2}">
  <dimension ref="A1:Z55"/>
  <sheetViews>
    <sheetView topLeftCell="A24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83984375" customWidth="1"/>
    <col min="5" max="5" width="5.109375" customWidth="1"/>
    <col min="6" max="6" width="4.83984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95</v>
      </c>
      <c r="B10" s="63"/>
      <c r="C10" s="63"/>
      <c r="D10" s="63"/>
      <c r="E10" s="63"/>
      <c r="F10" s="63"/>
      <c r="G10" s="63"/>
      <c r="H10" s="63"/>
      <c r="I10" s="63"/>
      <c r="J10" s="63" t="s">
        <v>94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thickBot="1" x14ac:dyDescent="0.25">
      <c r="A15" s="21" t="s">
        <v>8</v>
      </c>
      <c r="B15" s="44">
        <v>45.8</v>
      </c>
      <c r="C15" s="44">
        <v>46.8</v>
      </c>
      <c r="D15" s="52">
        <v>6.3333333329999997</v>
      </c>
      <c r="E15" s="52">
        <v>5</v>
      </c>
      <c r="F15" s="53">
        <v>4.4166666670000003</v>
      </c>
      <c r="G15" s="52">
        <v>4</v>
      </c>
      <c r="H15" s="45">
        <v>32.5</v>
      </c>
      <c r="I15" s="39">
        <f>SUM(D15:H15)</f>
        <v>52.25</v>
      </c>
      <c r="J15" s="39">
        <f>SUM(B15,C15,I15)/3</f>
        <v>48.283333333333331</v>
      </c>
      <c r="K15" s="39"/>
      <c r="L15" s="24"/>
      <c r="M15" s="24" t="str">
        <f>IF(J15&gt;=75,"A1",IF(J15&gt;=70,"B2",IF(J15&gt;=65,"B3",IF(J15&gt;=60,"C4",IF(J15&gt;=55,"C5",IF(J15&gt;=50,"C6",IF(J15&gt;=45,"D7",IF(J15&gt;=40,"E8","F9"))))))))</f>
        <v>D7</v>
      </c>
      <c r="N15" s="25" t="str">
        <f>IF(J15&gt;=75,"EXCELLENT",IF(J15&gt;=70,"VERY GOOD",IF(J15&gt;=65,"GOOD",IF(J15&gt;=50,"CREDIT",IF(J15&gt;=40,"PASS","FAIL")))))</f>
        <v>PASS</v>
      </c>
      <c r="O15" s="25"/>
    </row>
    <row r="16" spans="1:15" ht="15.75" thickBot="1" x14ac:dyDescent="0.25">
      <c r="A16" s="51" t="s">
        <v>11</v>
      </c>
      <c r="B16" s="44">
        <v>50.1</v>
      </c>
      <c r="C16" s="44">
        <v>50.8</v>
      </c>
      <c r="D16" s="52">
        <v>6.125</v>
      </c>
      <c r="E16" s="52">
        <v>4.55</v>
      </c>
      <c r="F16" s="53">
        <v>2.25</v>
      </c>
      <c r="G16" s="52">
        <v>5</v>
      </c>
      <c r="H16" s="48">
        <v>23</v>
      </c>
      <c r="I16" s="39">
        <f t="shared" ref="I16:I35" si="0">SUM(D16:H16)</f>
        <v>40.924999999999997</v>
      </c>
      <c r="J16" s="39">
        <f>SUM(B16,C16,I16)/3</f>
        <v>47.274999999999999</v>
      </c>
      <c r="K16" s="39">
        <v>40.700000000000003</v>
      </c>
      <c r="L16" s="2">
        <v>80.2</v>
      </c>
      <c r="M16" s="24" t="str">
        <f t="shared" ref="M16:M35" si="1">IF(J16&gt;=75,"A1",IF(J16&gt;=70,"B2",IF(J16&gt;=65,"B3",IF(J16&gt;=60,"C4",IF(J16&gt;=55,"C5",IF(J16&gt;=50,"C6",IF(J16&gt;=45,"D7",IF(J16&gt;=40,"E8","F9"))))))))</f>
        <v>D7</v>
      </c>
      <c r="N16" s="25" t="str">
        <f t="shared" ref="N16:N35" si="2">IF(J16&gt;=75,"EXCELLENT",IF(J16&gt;=70,"VERY GOOD",IF(J16&gt;=65,"GOOD",IF(J16&gt;=50,"CREDIT",IF(J16&gt;=40,"PASS","FAIL")))))</f>
        <v>PASS</v>
      </c>
      <c r="O16" s="2"/>
    </row>
    <row r="17" spans="1:26" ht="15.75" thickBot="1" x14ac:dyDescent="0.25">
      <c r="A17" s="51" t="s">
        <v>12</v>
      </c>
      <c r="B17" s="44">
        <v>48.9</v>
      </c>
      <c r="C17" s="44">
        <v>44.2</v>
      </c>
      <c r="D17" s="52">
        <v>2</v>
      </c>
      <c r="E17" s="52">
        <v>0.5</v>
      </c>
      <c r="F17" s="53">
        <v>6</v>
      </c>
      <c r="G17" s="52">
        <v>5</v>
      </c>
      <c r="H17" s="45">
        <v>41.5</v>
      </c>
      <c r="I17" s="39">
        <f t="shared" si="0"/>
        <v>55</v>
      </c>
      <c r="J17" s="39">
        <f>SUM(B17,C17,I17)/3</f>
        <v>49.366666666666667</v>
      </c>
      <c r="K17" s="39">
        <v>48.3</v>
      </c>
      <c r="L17" s="2">
        <v>88.3</v>
      </c>
      <c r="M17" s="24" t="str">
        <f t="shared" si="1"/>
        <v>D7</v>
      </c>
      <c r="N17" s="25" t="str">
        <f t="shared" si="2"/>
        <v>PASS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CREDIT</v>
      </c>
    </row>
    <row r="18" spans="1:26" ht="15.75" thickBot="1" x14ac:dyDescent="0.25">
      <c r="A18" s="51" t="s">
        <v>13</v>
      </c>
      <c r="B18" s="44">
        <v>40.700000000000003</v>
      </c>
      <c r="C18" s="44">
        <v>30.4</v>
      </c>
      <c r="D18" s="52">
        <v>6.625</v>
      </c>
      <c r="E18" s="52">
        <v>4.375</v>
      </c>
      <c r="F18" s="53">
        <v>6.0833333329999997</v>
      </c>
      <c r="G18" s="52">
        <v>0</v>
      </c>
      <c r="H18" s="45">
        <v>25</v>
      </c>
      <c r="I18" s="39">
        <f t="shared" si="0"/>
        <v>42.083333332999999</v>
      </c>
      <c r="J18" s="39">
        <f>SUM(B18,C18,I18)/3</f>
        <v>37.727777777666667</v>
      </c>
      <c r="K18" s="39">
        <v>37.700000000000003</v>
      </c>
      <c r="L18" s="2">
        <v>82.4</v>
      </c>
      <c r="M18" s="24" t="str">
        <f t="shared" si="1"/>
        <v>F9</v>
      </c>
      <c r="N18" s="25" t="str">
        <f t="shared" si="2"/>
        <v>FAIL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/>
      <c r="J19" s="39">
        <f>SUM(B19,C19,I19)/3</f>
        <v>0</v>
      </c>
      <c r="K19" s="39"/>
      <c r="L19" s="2"/>
      <c r="M19" s="24" t="str">
        <f t="shared" si="1"/>
        <v>F9</v>
      </c>
      <c r="N19" s="25" t="str">
        <f t="shared" si="2"/>
        <v>FAIL</v>
      </c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/>
      <c r="J20" s="39">
        <f>SUM(B20,C20,I20)/3</f>
        <v>0</v>
      </c>
      <c r="K20" s="39"/>
      <c r="L20" s="2"/>
      <c r="M20" s="24" t="str">
        <f t="shared" si="1"/>
        <v>F9</v>
      </c>
      <c r="N20" s="25" t="str">
        <f t="shared" si="2"/>
        <v>FAIL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 t="shared" si="0"/>
        <v>0</v>
      </c>
      <c r="J21" s="39">
        <f>SUM(B21,C21,I21)/3</f>
        <v>0</v>
      </c>
      <c r="K21" s="39"/>
      <c r="L21" s="2"/>
      <c r="M21" s="24" t="str">
        <f t="shared" si="1"/>
        <v>F9</v>
      </c>
      <c r="N21" s="25" t="str">
        <f t="shared" si="2"/>
        <v>FAIL</v>
      </c>
      <c r="O21" s="2"/>
    </row>
    <row r="22" spans="1:26" ht="15.75" thickBot="1" x14ac:dyDescent="0.25">
      <c r="A22" s="51" t="s">
        <v>17</v>
      </c>
      <c r="B22" s="44">
        <v>22.1</v>
      </c>
      <c r="C22" s="44">
        <v>32.1</v>
      </c>
      <c r="D22" s="52">
        <v>6</v>
      </c>
      <c r="E22" s="52">
        <v>4</v>
      </c>
      <c r="F22" s="53">
        <v>1.3333333329999999</v>
      </c>
      <c r="G22" s="52">
        <v>5</v>
      </c>
      <c r="H22" s="48">
        <v>20.5</v>
      </c>
      <c r="I22" s="39">
        <f t="shared" si="0"/>
        <v>36.833333332999999</v>
      </c>
      <c r="J22" s="39">
        <f>SUM(B22,C22,I22)/3</f>
        <v>30.344444444333334</v>
      </c>
      <c r="K22" s="39">
        <v>30.3</v>
      </c>
      <c r="L22" s="2">
        <v>69.2</v>
      </c>
      <c r="M22" s="24" t="str">
        <f t="shared" si="1"/>
        <v>F9</v>
      </c>
      <c r="N22" s="25" t="str">
        <f t="shared" si="2"/>
        <v>FAIL</v>
      </c>
      <c r="O22" s="2"/>
    </row>
    <row r="23" spans="1:26" ht="15.75" thickBot="1" x14ac:dyDescent="0.25">
      <c r="A23" s="51" t="s">
        <v>18</v>
      </c>
      <c r="B23" s="44">
        <v>34.799999999999997</v>
      </c>
      <c r="C23" s="44">
        <v>27.7</v>
      </c>
      <c r="D23" s="52">
        <v>2</v>
      </c>
      <c r="E23" s="52">
        <v>2.5</v>
      </c>
      <c r="F23" s="53">
        <v>2</v>
      </c>
      <c r="G23" s="52">
        <v>5</v>
      </c>
      <c r="H23" s="45">
        <v>21</v>
      </c>
      <c r="I23" s="39">
        <f t="shared" si="0"/>
        <v>32.5</v>
      </c>
      <c r="J23" s="39">
        <f>SUM(B23,C23,I23)/3</f>
        <v>31.666666666666668</v>
      </c>
      <c r="K23" s="39">
        <v>31.3</v>
      </c>
      <c r="L23" s="2">
        <v>58.4</v>
      </c>
      <c r="M23" s="24" t="str">
        <f t="shared" si="1"/>
        <v>F9</v>
      </c>
      <c r="N23" s="25" t="str">
        <f t="shared" si="2"/>
        <v>FAIL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/>
      <c r="J24" s="39">
        <f>SUM(B24,C24,I24)/3</f>
        <v>0</v>
      </c>
      <c r="K24" s="39"/>
      <c r="L24" s="2"/>
      <c r="M24" s="24" t="str">
        <f t="shared" si="1"/>
        <v>F9</v>
      </c>
      <c r="N24" s="25" t="str">
        <f t="shared" si="2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/>
      <c r="J25" s="39">
        <f>SUM(B25,C25,I25)/3</f>
        <v>0</v>
      </c>
      <c r="K25" s="39"/>
      <c r="L25" s="2"/>
      <c r="M25" s="24" t="str">
        <f t="shared" si="1"/>
        <v>F9</v>
      </c>
      <c r="N25" s="25" t="str">
        <f t="shared" si="2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 t="shared" si="0"/>
        <v>0</v>
      </c>
      <c r="J26" s="39">
        <f>SUM(B26,C26,I26)/3</f>
        <v>0</v>
      </c>
      <c r="K26" s="39"/>
      <c r="L26" s="2"/>
      <c r="M26" s="24" t="str">
        <f t="shared" si="1"/>
        <v>F9</v>
      </c>
      <c r="N26" s="25" t="str">
        <f t="shared" si="2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/>
      <c r="J27" s="39">
        <f>SUM(B27,C27,I27)/3</f>
        <v>0</v>
      </c>
      <c r="K27" s="39"/>
      <c r="L27" s="2"/>
      <c r="M27" s="24" t="str">
        <f t="shared" si="1"/>
        <v>F9</v>
      </c>
      <c r="N27" s="25" t="str">
        <f t="shared" si="2"/>
        <v>FAIL</v>
      </c>
      <c r="O27" s="2"/>
    </row>
    <row r="28" spans="1:26" ht="15.75" thickBot="1" x14ac:dyDescent="0.25">
      <c r="A28" s="51" t="s">
        <v>23</v>
      </c>
      <c r="B28" s="44">
        <v>27.4</v>
      </c>
      <c r="C28" s="44">
        <v>25</v>
      </c>
      <c r="D28" s="52">
        <v>7.5714285710000002</v>
      </c>
      <c r="E28" s="52">
        <v>1.2083333329999999</v>
      </c>
      <c r="F28" s="53">
        <v>1.5</v>
      </c>
      <c r="G28" s="52">
        <v>4</v>
      </c>
      <c r="H28" s="45">
        <v>2.9</v>
      </c>
      <c r="I28" s="39">
        <f t="shared" si="0"/>
        <v>17.179761903999999</v>
      </c>
      <c r="J28" s="39">
        <f>SUM(B28,C28,I28)/3</f>
        <v>23.193253967999997</v>
      </c>
      <c r="K28" s="39"/>
      <c r="L28" s="2"/>
      <c r="M28" s="24" t="str">
        <f t="shared" si="1"/>
        <v>F9</v>
      </c>
      <c r="N28" s="25" t="str">
        <f t="shared" si="2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/>
      <c r="J29" s="39">
        <f>SUM(B29,C29,I29)/3</f>
        <v>0</v>
      </c>
      <c r="K29" s="39"/>
      <c r="L29" s="2"/>
      <c r="M29" s="24" t="str">
        <f t="shared" si="1"/>
        <v>F9</v>
      </c>
      <c r="N29" s="25" t="str">
        <f t="shared" si="2"/>
        <v>FAIL</v>
      </c>
      <c r="O29" s="2"/>
    </row>
    <row r="30" spans="1:26" ht="15.75" hidden="1" thickBot="1" x14ac:dyDescent="0.25">
      <c r="A30" s="51" t="s">
        <v>25</v>
      </c>
      <c r="B30" s="44"/>
      <c r="C30" s="44"/>
      <c r="D30" s="44"/>
      <c r="E30" s="44"/>
      <c r="F30" s="44"/>
      <c r="G30" s="45"/>
      <c r="H30" s="45"/>
      <c r="I30" s="39"/>
      <c r="J30" s="39">
        <f>SUM(B30,C30,I30)/3</f>
        <v>0</v>
      </c>
      <c r="K30" s="39"/>
      <c r="L30" s="2"/>
      <c r="M30" s="24" t="str">
        <f t="shared" si="1"/>
        <v>F9</v>
      </c>
      <c r="N30" s="25" t="str">
        <f t="shared" si="2"/>
        <v>FAIL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 t="shared" si="0"/>
        <v>0</v>
      </c>
      <c r="J31" s="39">
        <f>SUM(B31,C31,I31)/3</f>
        <v>0</v>
      </c>
      <c r="K31" s="39"/>
      <c r="L31" s="2"/>
      <c r="M31" s="24" t="str">
        <f t="shared" si="1"/>
        <v>F9</v>
      </c>
      <c r="N31" s="25" t="str">
        <f t="shared" si="2"/>
        <v>FAIL</v>
      </c>
      <c r="O31" s="2"/>
    </row>
    <row r="32" spans="1:26" ht="15.75" hidden="1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/>
      <c r="J32" s="39">
        <f>SUM(B32,C32,I32)/3</f>
        <v>0</v>
      </c>
      <c r="K32" s="39"/>
      <c r="L32" s="2"/>
      <c r="M32" s="24" t="str">
        <f t="shared" si="1"/>
        <v>F9</v>
      </c>
      <c r="N32" s="25" t="str">
        <f t="shared" si="2"/>
        <v>FAIL</v>
      </c>
      <c r="O32" s="2"/>
    </row>
    <row r="33" spans="1:16" ht="15.75" thickBot="1" x14ac:dyDescent="0.25">
      <c r="A33" s="51" t="s">
        <v>28</v>
      </c>
      <c r="B33" s="44">
        <v>26.7</v>
      </c>
      <c r="C33" s="44">
        <v>28.6</v>
      </c>
      <c r="D33" s="52">
        <v>7</v>
      </c>
      <c r="E33" s="52">
        <v>1.3333333329999999</v>
      </c>
      <c r="F33" s="53">
        <v>1.5</v>
      </c>
      <c r="G33" s="52">
        <v>5</v>
      </c>
      <c r="H33" s="45">
        <v>18.100000000000001</v>
      </c>
      <c r="I33" s="39">
        <f t="shared" si="0"/>
        <v>32.933333333</v>
      </c>
      <c r="J33" s="39">
        <f>SUM(B33,C33,I33)/3</f>
        <v>29.411111110999997</v>
      </c>
      <c r="K33" s="39"/>
      <c r="L33" s="2"/>
      <c r="M33" s="24" t="str">
        <f t="shared" si="1"/>
        <v>F9</v>
      </c>
      <c r="N33" s="25" t="str">
        <f t="shared" si="2"/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/>
      <c r="J34" s="39">
        <f>SUM(B34,C34,I34)/3</f>
        <v>0</v>
      </c>
      <c r="K34" s="39"/>
      <c r="L34" s="2"/>
      <c r="M34" s="24" t="str">
        <f t="shared" si="1"/>
        <v>F9</v>
      </c>
      <c r="N34" s="25" t="str">
        <f t="shared" si="2"/>
        <v>FAIL</v>
      </c>
      <c r="O34" s="2"/>
    </row>
    <row r="35" spans="1:16" ht="15.75" thickBot="1" x14ac:dyDescent="0.25">
      <c r="A35" s="51" t="s">
        <v>30</v>
      </c>
      <c r="B35" s="44">
        <v>49.1</v>
      </c>
      <c r="C35" s="44">
        <v>37.1</v>
      </c>
      <c r="D35" s="52">
        <v>5.25</v>
      </c>
      <c r="E35" s="52">
        <v>1.625</v>
      </c>
      <c r="F35" s="53">
        <v>2.6666666669999999</v>
      </c>
      <c r="G35" s="52">
        <v>4</v>
      </c>
      <c r="H35" s="48">
        <v>28</v>
      </c>
      <c r="I35" s="39">
        <f t="shared" si="0"/>
        <v>41.541666667000001</v>
      </c>
      <c r="J35" s="39">
        <f>SUM(B35,C35,I35)/3</f>
        <v>42.58055555566667</v>
      </c>
      <c r="K35" s="39">
        <v>42.6</v>
      </c>
      <c r="L35" s="2">
        <v>85.3</v>
      </c>
      <c r="M35" s="24" t="str">
        <f t="shared" si="1"/>
        <v>E8</v>
      </c>
      <c r="N35" s="25" t="str">
        <f t="shared" si="2"/>
        <v>PASS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339.84880952333327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2</v>
      </c>
    </row>
    <row r="41" spans="1:16" ht="15.75" thickBot="1" x14ac:dyDescent="0.25">
      <c r="A41" s="17" t="s">
        <v>48</v>
      </c>
      <c r="B41" s="6"/>
      <c r="C41" s="6"/>
      <c r="D41" s="6">
        <f>SUM(J15:J37)/9</f>
        <v>37.760978835925918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3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J27*4,J28*5,J29*3,J30*3,J31*3,J32*3,J33*4,J34*3,J35*2,J37*3)/660</f>
        <v>1.7450499037964646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3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</row>
    <row r="47" spans="1:16" ht="15.75" thickBot="1" x14ac:dyDescent="0.25">
      <c r="A47" s="15" t="s">
        <v>64</v>
      </c>
      <c r="B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3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4</v>
      </c>
      <c r="P48" s="47"/>
    </row>
    <row r="49" spans="1:16" ht="15.75" thickBot="1" x14ac:dyDescent="0.25">
      <c r="A49" s="16" t="s">
        <v>54</v>
      </c>
      <c r="B49" s="6"/>
      <c r="C49" s="6"/>
      <c r="D49" s="6">
        <v>114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37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TO REPEAT SS2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1574-E15B-014A-8C29-571CF63A1086}">
  <dimension ref="A1:Z55"/>
  <sheetViews>
    <sheetView topLeftCell="A15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4.5703125" customWidth="1"/>
    <col min="5" max="5" width="5.109375" customWidth="1"/>
    <col min="6" max="6" width="4.83984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97</v>
      </c>
      <c r="B10" s="63"/>
      <c r="C10" s="63"/>
      <c r="D10" s="63"/>
      <c r="E10" s="63"/>
      <c r="F10" s="63"/>
      <c r="G10" s="63"/>
      <c r="H10" s="63"/>
      <c r="I10" s="63"/>
      <c r="J10" s="63" t="s">
        <v>96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>
        <v>73.900000000000006</v>
      </c>
      <c r="C17" s="44">
        <v>53.6</v>
      </c>
      <c r="D17" s="52">
        <v>10</v>
      </c>
      <c r="E17" s="52">
        <v>4</v>
      </c>
      <c r="F17" s="53">
        <v>9.5</v>
      </c>
      <c r="G17" s="52">
        <v>5</v>
      </c>
      <c r="H17" s="45">
        <v>45.5</v>
      </c>
      <c r="I17" s="39">
        <f t="shared" si="0"/>
        <v>74</v>
      </c>
      <c r="J17" s="39">
        <f>SUM(B17,C17,I17)/3</f>
        <v>67.166666666666671</v>
      </c>
      <c r="K17" s="39"/>
      <c r="L17" s="2"/>
      <c r="M17" s="24" t="str">
        <f>IF(J17&gt;=75,"A1",IF(J17&gt;=70,"B2",IF(J17&gt;=65,"B3",IF(J17&gt;=60,"C4",IF(J17&gt;=55,"C5",IF(J17&gt;=50,"C6",IF(J17&gt;=45,"D7",IF(J17&gt;=40,"E8","F9"))))))))</f>
        <v>B3</v>
      </c>
      <c r="N17" s="25" t="str">
        <f>IF(J17&gt;=75,"EXCELLENT",IF(J17&gt;=70,"VERY GOOD",IF(J17&gt;=65,"GOOD",IF(J17&gt;=50,"CREDIT",IF(J17&gt;=40,"PASS","FAIL")))))</f>
        <v>GOOD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>SUM(D18:H18)</f>
        <v>0</v>
      </c>
      <c r="J18" s="39">
        <f>SUM(B18,C18,I18)/3</f>
        <v>0</v>
      </c>
      <c r="K18" s="39"/>
      <c r="L18" s="2"/>
      <c r="M18" s="24" t="str">
        <f t="shared" ref="M18:M35" si="4">IF(J18&gt;=75,"A1",IF(J18&gt;=70,"B2",IF(J18&gt;=65,"B3",IF(J18&gt;=60,"C4",IF(J18&gt;=55,"C5",IF(J18&gt;=50,"C6",IF(J18&gt;=45,"D7",IF(J18&gt;=40,"E8","F9"))))))))</f>
        <v>F9</v>
      </c>
      <c r="N18" s="25" t="str">
        <f t="shared" ref="N18:N35" si="5">IF(J18&gt;=75,"EXCELLENT",IF(J18&gt;=70,"VERY GOOD",IF(J18&gt;=65,"GOOD",IF(J18&gt;=50,"CREDIT",IF(J18&gt;=40,"PASS","FAIL")))))</f>
        <v>FAIL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>
        <f>SUM(D19:H19)</f>
        <v>0</v>
      </c>
      <c r="J19" s="39">
        <f>SUM(B19,C19,I19)/3</f>
        <v>0</v>
      </c>
      <c r="K19" s="39"/>
      <c r="L19" s="2"/>
      <c r="M19" s="24" t="str">
        <f t="shared" si="4"/>
        <v>F9</v>
      </c>
      <c r="N19" s="25" t="str">
        <f t="shared" si="5"/>
        <v>FAIL</v>
      </c>
      <c r="O19" s="2"/>
    </row>
    <row r="20" spans="1:26" ht="15.75" thickBot="1" x14ac:dyDescent="0.25">
      <c r="A20" s="51" t="s">
        <v>15</v>
      </c>
      <c r="B20" s="44">
        <v>40.5</v>
      </c>
      <c r="C20" s="44">
        <v>54.9</v>
      </c>
      <c r="D20" s="52">
        <v>7</v>
      </c>
      <c r="E20" s="52">
        <v>4.0999999999999996</v>
      </c>
      <c r="F20" s="53">
        <v>16</v>
      </c>
      <c r="G20" s="52">
        <v>5</v>
      </c>
      <c r="H20" s="45">
        <v>48</v>
      </c>
      <c r="I20" s="39">
        <f>SUM(D20:H20)</f>
        <v>80.099999999999994</v>
      </c>
      <c r="J20" s="39">
        <f>SUM(B20,C20,I20)/3</f>
        <v>58.5</v>
      </c>
      <c r="K20" s="39"/>
      <c r="L20" s="2"/>
      <c r="M20" s="24" t="str">
        <f t="shared" si="4"/>
        <v>C5</v>
      </c>
      <c r="N20" s="25" t="str">
        <f t="shared" si="5"/>
        <v>CREDIT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51" t="s">
        <v>17</v>
      </c>
      <c r="B22" s="44">
        <v>27.7</v>
      </c>
      <c r="C22" s="44">
        <v>36.700000000000003</v>
      </c>
      <c r="D22" s="52">
        <v>9</v>
      </c>
      <c r="E22" s="52">
        <v>5</v>
      </c>
      <c r="F22" s="53">
        <v>7.8888888890000004</v>
      </c>
      <c r="G22" s="52">
        <v>5</v>
      </c>
      <c r="H22" s="48">
        <v>31.5</v>
      </c>
      <c r="I22" s="39">
        <f>SUM(D22:H22)</f>
        <v>58.388888889</v>
      </c>
      <c r="J22" s="39">
        <f>SUM(B22,C22,I22)/3</f>
        <v>40.929629629666671</v>
      </c>
      <c r="K22" s="39"/>
      <c r="L22" s="2"/>
      <c r="M22" s="24" t="str">
        <f t="shared" si="4"/>
        <v>E8</v>
      </c>
      <c r="N22" s="25" t="str">
        <f t="shared" si="5"/>
        <v>PASS</v>
      </c>
      <c r="O22" s="2"/>
    </row>
    <row r="23" spans="1:26" ht="15.75" thickBot="1" x14ac:dyDescent="0.25">
      <c r="A23" s="51" t="s">
        <v>18</v>
      </c>
      <c r="B23" s="44">
        <v>44.4</v>
      </c>
      <c r="C23" s="44">
        <v>41.2</v>
      </c>
      <c r="D23" s="52">
        <v>8</v>
      </c>
      <c r="E23" s="52">
        <v>3</v>
      </c>
      <c r="F23" s="53">
        <v>7.3333333329999997</v>
      </c>
      <c r="G23" s="52">
        <v>5</v>
      </c>
      <c r="H23" s="45">
        <v>16</v>
      </c>
      <c r="I23" s="39">
        <f>SUM(D23:H23)</f>
        <v>39.333333332999999</v>
      </c>
      <c r="J23" s="39">
        <f>SUM(B23,C23,I23)/3</f>
        <v>41.644444444333331</v>
      </c>
      <c r="K23" s="39"/>
      <c r="L23" s="2"/>
      <c r="M23" s="24" t="str">
        <f t="shared" si="4"/>
        <v>E8</v>
      </c>
      <c r="N23" s="25" t="str">
        <f t="shared" si="5"/>
        <v>PASS</v>
      </c>
      <c r="O23" s="2"/>
    </row>
    <row r="24" spans="1:26" ht="15.75" thickBot="1" x14ac:dyDescent="0.25">
      <c r="A24" s="51" t="s">
        <v>19</v>
      </c>
      <c r="B24" s="44">
        <v>49.8</v>
      </c>
      <c r="C24" s="44">
        <v>29.2</v>
      </c>
      <c r="D24" s="52">
        <v>5.3333333329999997</v>
      </c>
      <c r="E24" s="52">
        <v>1</v>
      </c>
      <c r="F24" s="53">
        <v>3</v>
      </c>
      <c r="G24" s="52">
        <v>5</v>
      </c>
      <c r="H24" s="45">
        <v>19</v>
      </c>
      <c r="I24" s="39">
        <f>SUM(D24:H24)</f>
        <v>33.333333332999999</v>
      </c>
      <c r="J24" s="39">
        <f>SUM(B24,C24,I24)/3</f>
        <v>37.444444444333335</v>
      </c>
      <c r="K24" s="39"/>
      <c r="L24" s="2"/>
      <c r="M24" s="24" t="str">
        <f t="shared" si="4"/>
        <v>F9</v>
      </c>
      <c r="N24" s="25" t="str">
        <f t="shared" si="5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>
        <f>SUM(D27:H27)</f>
        <v>0</v>
      </c>
      <c r="J27" s="39">
        <f>SUM(B27,C27,I27)/3</f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51" t="s">
        <v>23</v>
      </c>
      <c r="B28" s="44">
        <v>28.4</v>
      </c>
      <c r="C28" s="44">
        <v>18.3</v>
      </c>
      <c r="D28" s="52">
        <v>8.3571428569999995</v>
      </c>
      <c r="E28" s="52">
        <v>3.7083333330000001</v>
      </c>
      <c r="F28" s="53">
        <v>1.8333333329999999</v>
      </c>
      <c r="G28" s="52">
        <v>5</v>
      </c>
      <c r="H28" s="45">
        <v>3</v>
      </c>
      <c r="I28" s="39">
        <f>SUM(D28:H28)</f>
        <v>21.898809523000001</v>
      </c>
      <c r="J28" s="39">
        <f>SUM(B28,C28,I28)/3</f>
        <v>22.866269841000001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>
        <f>SUM(D29:H29)</f>
        <v>0</v>
      </c>
      <c r="J29" s="39">
        <f>SUM(B29,C29,I29)/3</f>
        <v>0</v>
      </c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51" t="s">
        <v>25</v>
      </c>
      <c r="B30" s="44">
        <v>18</v>
      </c>
      <c r="C30" s="44">
        <v>24</v>
      </c>
      <c r="D30" s="52">
        <v>8.8000000000000007</v>
      </c>
      <c r="E30" s="52">
        <v>4.0999999999999996</v>
      </c>
      <c r="F30" s="53">
        <v>5.5</v>
      </c>
      <c r="G30" s="52">
        <v>3</v>
      </c>
      <c r="H30" s="45">
        <v>36.5</v>
      </c>
      <c r="I30" s="39">
        <f>SUM(D30:H30)</f>
        <v>57.9</v>
      </c>
      <c r="J30" s="39">
        <f>SUM(B30,C30,I30)/3</f>
        <v>33.300000000000004</v>
      </c>
      <c r="K30" s="39"/>
      <c r="L30" s="2"/>
      <c r="M30" s="24" t="str">
        <f t="shared" si="4"/>
        <v>F9</v>
      </c>
      <c r="N30" s="25" t="str">
        <f t="shared" si="5"/>
        <v>FAIL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hidden="1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>
        <f>SUM(D32:H32)</f>
        <v>0</v>
      </c>
      <c r="J32" s="39">
        <f>SUM(B32,C32,I32)/3</f>
        <v>0</v>
      </c>
      <c r="K32" s="39"/>
      <c r="L32" s="2"/>
      <c r="M32" s="24" t="str">
        <f t="shared" si="4"/>
        <v>F9</v>
      </c>
      <c r="N32" s="25" t="str">
        <f t="shared" si="5"/>
        <v>FAIL</v>
      </c>
      <c r="O32" s="2"/>
    </row>
    <row r="33" spans="1:16" ht="15.75" hidden="1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>SUM(D33:H33)</f>
        <v>0</v>
      </c>
      <c r="J33" s="39">
        <f>SUM(B33,C33,I33)/3</f>
        <v>0</v>
      </c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51" t="s">
        <v>30</v>
      </c>
      <c r="B35" s="44">
        <v>43.3</v>
      </c>
      <c r="C35" s="44">
        <v>48.7</v>
      </c>
      <c r="D35" s="52">
        <v>7.8</v>
      </c>
      <c r="E35" s="52">
        <v>5</v>
      </c>
      <c r="F35" s="53">
        <v>5.5</v>
      </c>
      <c r="G35" s="52">
        <v>4</v>
      </c>
      <c r="H35" s="48">
        <v>37</v>
      </c>
      <c r="I35" s="39">
        <f>SUM(D35:H35)</f>
        <v>59.3</v>
      </c>
      <c r="J35" s="39">
        <f>SUM(B35,C35,I35)/3</f>
        <v>50.433333333333337</v>
      </c>
      <c r="K35" s="39">
        <v>42.6</v>
      </c>
      <c r="L35" s="2">
        <v>85.3</v>
      </c>
      <c r="M35" s="24" t="str">
        <f t="shared" si="4"/>
        <v>C6</v>
      </c>
      <c r="N35" s="25" t="str">
        <f t="shared" si="5"/>
        <v>CREDIT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352.28478835933339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3</v>
      </c>
    </row>
    <row r="41" spans="1:16" ht="15.75" thickBot="1" x14ac:dyDescent="0.25">
      <c r="A41" s="17" t="s">
        <v>48</v>
      </c>
      <c r="B41" s="6"/>
      <c r="C41" s="6"/>
      <c r="D41" s="6">
        <f>SUM(J15:J37)/8</f>
        <v>44.035598544916674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2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3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J27*4,J28*5,J29*3,J30*3,J31*3,J32*3,J33*4,J34*3,J35*2,J37*3)/560</f>
        <v>2.0789647108803577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2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</row>
    <row r="47" spans="1:16" ht="15.75" thickBot="1" x14ac:dyDescent="0.25">
      <c r="A47" s="15" t="s">
        <v>64</v>
      </c>
      <c r="B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3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3</v>
      </c>
      <c r="P48" s="47"/>
    </row>
    <row r="49" spans="1:16" ht="15.75" thickBot="1" x14ac:dyDescent="0.25">
      <c r="A49" s="16" t="s">
        <v>54</v>
      </c>
      <c r="B49" s="6"/>
      <c r="C49" s="6"/>
      <c r="D49" s="6">
        <v>118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35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 ON TRIAL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7A3B-8C65-B447-8E5E-343ABE74E220}">
  <dimension ref="A1:Z55"/>
  <sheetViews>
    <sheetView topLeftCell="A18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bestFit="1" customWidth="1"/>
    <col min="4" max="4" width="5.109375" customWidth="1"/>
    <col min="5" max="5" width="5.37890625" customWidth="1"/>
    <col min="6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99</v>
      </c>
      <c r="B10" s="63"/>
      <c r="C10" s="63"/>
      <c r="D10" s="63"/>
      <c r="E10" s="63"/>
      <c r="F10" s="63"/>
      <c r="G10" s="63"/>
      <c r="H10" s="63"/>
      <c r="I10" s="63"/>
      <c r="J10" s="63" t="s">
        <v>98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/>
      <c r="O16" s="2"/>
    </row>
    <row r="17" spans="1:26" ht="15.75" thickBot="1" x14ac:dyDescent="0.25">
      <c r="A17" s="51" t="s">
        <v>12</v>
      </c>
      <c r="B17" s="44">
        <v>70.900000000000006</v>
      </c>
      <c r="C17" s="44">
        <v>76.599999999999994</v>
      </c>
      <c r="D17" s="52">
        <v>10</v>
      </c>
      <c r="E17" s="52">
        <v>4.9000000000000004</v>
      </c>
      <c r="F17" s="53">
        <v>9</v>
      </c>
      <c r="G17" s="52">
        <v>5</v>
      </c>
      <c r="H17" s="45">
        <v>61</v>
      </c>
      <c r="I17" s="39">
        <f t="shared" si="0"/>
        <v>89.9</v>
      </c>
      <c r="J17" s="39">
        <f>SUM(B17,C17,I17)/3</f>
        <v>79.13333333333334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A1</v>
      </c>
      <c r="N17" s="25" t="str">
        <f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>SUM(D18:H18)</f>
        <v>0</v>
      </c>
      <c r="J18" s="39">
        <f>SUM(B18,C18,I18)/3</f>
        <v>0</v>
      </c>
      <c r="K18" s="39"/>
      <c r="L18" s="2"/>
      <c r="M18" s="24" t="str">
        <f t="shared" ref="M18:M28" si="3">IF(J18&gt;=75,"A1",IF(J18&gt;=70,"B2",IF(J18&gt;=65,"B3",IF(J18&gt;=60,"C4",IF(J18&gt;=55,"C5",IF(J18&gt;=50,"C6",IF(J18&gt;=45,"D7",IF(J18&gt;=40,"E8","F9"))))))))</f>
        <v>F9</v>
      </c>
      <c r="N18" s="25" t="str">
        <f t="shared" ref="N18:N28" si="4">IF(J18&gt;=75,"EXCELLENT",IF(J18&gt;=70,"VERY GOOD",IF(J18&gt;=65,"GOOD",IF(J18&gt;=50,"CREDIT",IF(J18&gt;=40,"PASS","FAIL")))))</f>
        <v>FAIL</v>
      </c>
      <c r="O18" s="2"/>
    </row>
    <row r="19" spans="1:26" ht="15.75" thickBot="1" x14ac:dyDescent="0.25">
      <c r="A19" s="51" t="s">
        <v>14</v>
      </c>
      <c r="B19" s="44">
        <v>59.4</v>
      </c>
      <c r="C19" s="44">
        <v>70</v>
      </c>
      <c r="D19" s="52">
        <v>6.5</v>
      </c>
      <c r="E19" s="52">
        <v>5</v>
      </c>
      <c r="F19" s="53">
        <v>6.25</v>
      </c>
      <c r="G19" s="52">
        <v>3</v>
      </c>
      <c r="H19" s="45">
        <v>47</v>
      </c>
      <c r="I19" s="39">
        <f>SUM(D19:H19)</f>
        <v>67.75</v>
      </c>
      <c r="J19" s="39">
        <f>SUM(B19,C19,I19)/3</f>
        <v>65.716666666666669</v>
      </c>
      <c r="K19" s="39">
        <v>52.2</v>
      </c>
      <c r="L19" s="2">
        <v>75.900000000000006</v>
      </c>
      <c r="M19" s="24" t="str">
        <f t="shared" si="3"/>
        <v>B3</v>
      </c>
      <c r="N19" s="25" t="str">
        <f t="shared" si="4"/>
        <v>GOOD</v>
      </c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>
        <f>SUM(D20:H20)</f>
        <v>0</v>
      </c>
      <c r="J20" s="39">
        <f>SUM(B20,C20,I20)/3</f>
        <v>0</v>
      </c>
      <c r="K20" s="39"/>
      <c r="L20" s="2"/>
      <c r="M20" s="24" t="str">
        <f t="shared" si="3"/>
        <v>F9</v>
      </c>
      <c r="N20" s="25" t="str">
        <f t="shared" si="4"/>
        <v>FAIL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3"/>
        <v>F9</v>
      </c>
      <c r="N21" s="25" t="str">
        <f t="shared" si="4"/>
        <v>FAIL</v>
      </c>
      <c r="O21" s="2"/>
    </row>
    <row r="22" spans="1:26" ht="15.75" thickBot="1" x14ac:dyDescent="0.25">
      <c r="A22" s="51" t="s">
        <v>17</v>
      </c>
      <c r="B22" s="44">
        <v>37.799999999999997</v>
      </c>
      <c r="C22" s="44">
        <v>55.2</v>
      </c>
      <c r="D22" s="52">
        <v>8.8000000000000007</v>
      </c>
      <c r="E22" s="52">
        <v>5</v>
      </c>
      <c r="F22" s="53">
        <v>4.6666666670000003</v>
      </c>
      <c r="G22" s="52">
        <v>5</v>
      </c>
      <c r="H22" s="48">
        <v>36</v>
      </c>
      <c r="I22" s="39">
        <f>SUM(D22:H22)</f>
        <v>59.466666666999998</v>
      </c>
      <c r="J22" s="39">
        <f>SUM(B22,C22,I22)/3</f>
        <v>50.82222222233333</v>
      </c>
      <c r="K22" s="39">
        <v>30.3</v>
      </c>
      <c r="L22" s="2">
        <v>69.2</v>
      </c>
      <c r="M22" s="24" t="str">
        <f t="shared" si="3"/>
        <v>C6</v>
      </c>
      <c r="N22" s="25" t="str">
        <f t="shared" si="4"/>
        <v>CREDIT</v>
      </c>
      <c r="O22" s="2"/>
    </row>
    <row r="23" spans="1:26" ht="15.75" thickBot="1" x14ac:dyDescent="0.25">
      <c r="A23" s="51" t="s">
        <v>18</v>
      </c>
      <c r="B23" s="44">
        <v>45.5</v>
      </c>
      <c r="C23" s="44">
        <v>39.200000000000003</v>
      </c>
      <c r="D23" s="52">
        <v>8</v>
      </c>
      <c r="E23" s="52">
        <v>3.5</v>
      </c>
      <c r="F23" s="53">
        <v>5.3333333329999997</v>
      </c>
      <c r="G23" s="52">
        <v>5</v>
      </c>
      <c r="H23" s="45">
        <v>22</v>
      </c>
      <c r="I23" s="39">
        <f>SUM(D23:H23)</f>
        <v>43.833333332999999</v>
      </c>
      <c r="J23" s="39">
        <f>SUM(B23,C23,I23)/3</f>
        <v>42.844444444333334</v>
      </c>
      <c r="K23" s="39">
        <v>31.3</v>
      </c>
      <c r="L23" s="2">
        <v>58.4</v>
      </c>
      <c r="M23" s="24" t="str">
        <f t="shared" si="3"/>
        <v>E8</v>
      </c>
      <c r="N23" s="25" t="str">
        <f t="shared" si="4"/>
        <v>PASS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>
        <f>SUM(D24:H24)</f>
        <v>0</v>
      </c>
      <c r="J24" s="39">
        <f>SUM(B24,C24,I24)/3</f>
        <v>0</v>
      </c>
      <c r="K24" s="39"/>
      <c r="L24" s="2"/>
      <c r="M24" s="24" t="str">
        <f t="shared" si="3"/>
        <v>F9</v>
      </c>
      <c r="N24" s="25" t="str">
        <f t="shared" si="4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SUM(B25,C25,I25)/3</f>
        <v>0</v>
      </c>
      <c r="K25" s="39"/>
      <c r="L25" s="2"/>
      <c r="M25" s="24" t="str">
        <f t="shared" si="3"/>
        <v>F9</v>
      </c>
      <c r="N25" s="25" t="str">
        <f t="shared" si="4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3"/>
        <v>F9</v>
      </c>
      <c r="N26" s="25" t="str">
        <f t="shared" si="4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>
        <f>SUM(D27:H27)</f>
        <v>0</v>
      </c>
      <c r="J27" s="39">
        <f>SUM(B27,C27,I27)/3</f>
        <v>0</v>
      </c>
      <c r="K27" s="39"/>
      <c r="L27" s="2"/>
      <c r="M27" s="24" t="str">
        <f t="shared" si="3"/>
        <v>F9</v>
      </c>
      <c r="N27" s="25" t="str">
        <f t="shared" si="4"/>
        <v>FAIL</v>
      </c>
      <c r="O27" s="2"/>
    </row>
    <row r="28" spans="1:26" ht="15.75" thickBot="1" x14ac:dyDescent="0.25">
      <c r="A28" s="51" t="s">
        <v>23</v>
      </c>
      <c r="B28" s="44">
        <v>44.8</v>
      </c>
      <c r="C28" s="44">
        <v>38.799999999999997</v>
      </c>
      <c r="D28" s="52">
        <v>6.4285714289999998</v>
      </c>
      <c r="E28" s="52">
        <v>4.2916666670000003</v>
      </c>
      <c r="F28" s="53">
        <v>0.81333333299999999</v>
      </c>
      <c r="G28" s="52">
        <v>4</v>
      </c>
      <c r="H28" s="45">
        <v>10.3</v>
      </c>
      <c r="I28" s="39">
        <f>SUM(D28:H28)</f>
        <v>25.833571428999999</v>
      </c>
      <c r="J28" s="39">
        <f>SUM(B28,C28,I28)/3</f>
        <v>36.477857143000001</v>
      </c>
      <c r="K28" s="39"/>
      <c r="L28" s="2"/>
      <c r="M28" s="24" t="str">
        <f t="shared" si="3"/>
        <v>F9</v>
      </c>
      <c r="N28" s="25" t="str">
        <f t="shared" si="4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>
        <f>SUM(D29:H29)</f>
        <v>0</v>
      </c>
      <c r="J29" s="39">
        <f>SUM(B29,C29,I29)/3</f>
        <v>0</v>
      </c>
      <c r="K29" s="39"/>
      <c r="L29" s="2"/>
      <c r="M29" s="24" t="str">
        <f>IF(J29&gt;=89.5,"A1",IF(J29&gt;=79.5,"B2",IF(J29&gt;=69.5,"B3",IF(J29&gt;=59.5,"C4",IF(J29&gt;=54.5,"C5",IF(J29&gt;=49.5,"C6",IF(J29&gt;=44.5,"D7",IF(J29&gt;=39.5,"E8","F"))))))))</f>
        <v>F</v>
      </c>
      <c r="N29" s="25" t="str">
        <f>IF(J29&gt;=89.5,"EXCELLENT",IF(J29&gt;=79.5,"VERY GOOD",IF(J29&gt;=69.5,"GOOD",IF(J29&gt;=59.5,"CREDIT",IF(J29&gt;=54.5,"CREDIT",IF(J29&gt;=49.5,"CREDIT",IF(J29&gt;=44.5,"PASS",IF(J29&gt;=39.5,"PASS","FAIL"))))))))</f>
        <v>FAIL</v>
      </c>
      <c r="O29" s="2"/>
    </row>
    <row r="30" spans="1:26" ht="15.75" thickBot="1" x14ac:dyDescent="0.25">
      <c r="A30" s="51" t="s">
        <v>25</v>
      </c>
      <c r="B30" s="44">
        <v>39</v>
      </c>
      <c r="C30" s="44">
        <v>55</v>
      </c>
      <c r="D30" s="52">
        <v>8.4</v>
      </c>
      <c r="E30" s="52">
        <v>4.7</v>
      </c>
      <c r="F30" s="53">
        <v>6.4166666670000003</v>
      </c>
      <c r="G30" s="52">
        <v>4</v>
      </c>
      <c r="H30" s="45">
        <v>49.5</v>
      </c>
      <c r="I30" s="39">
        <f>SUM(D30:H30)</f>
        <v>73.01666666700001</v>
      </c>
      <c r="J30" s="39">
        <f>SUM(B30,C30,I30)/3</f>
        <v>55.672222222333339</v>
      </c>
      <c r="K30" s="39">
        <v>33.299999999999997</v>
      </c>
      <c r="L30" s="2">
        <v>66.5</v>
      </c>
      <c r="M30" s="24" t="str">
        <f>IF(J30&gt;=89.5,"A1",IF(J30&gt;=79.5,"B2",IF(J30&gt;=69.5,"B3",IF(J30&gt;=59.5,"C4",IF(J30&gt;=54.5,"C5",IF(J30&gt;=49.5,"C6",IF(J30&gt;=44.5,"D7",IF(J30&gt;=39.5,"E8","F"))))))))</f>
        <v>C5</v>
      </c>
      <c r="N30" s="25" t="str">
        <f>IF(J30&gt;=89.5,"EXCELLENT",IF(J30&gt;=79.5,"VERY GOOD",IF(J30&gt;=69.5,"GOOD",IF(J30&gt;=59.5,"CREDIT",IF(J30&gt;=54.5,"CREDIT",IF(J30&gt;=49.5,"CREDIT",IF(J30&gt;=44.5,"PASS",IF(J30&gt;=39.5,"PASS","FAIL"))))))))</f>
        <v>CREDIT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>SUM(D31:H31)</f>
        <v>0</v>
      </c>
      <c r="J31" s="39">
        <f>SUM(B31,C31,I31)/3</f>
        <v>0</v>
      </c>
      <c r="K31" s="39"/>
      <c r="L31" s="2"/>
      <c r="M31" s="24" t="str">
        <f>IF(J31&gt;=89.5,"A1",IF(J31&gt;=79.5,"B2",IF(J31&gt;=69.5,"B3",IF(J31&gt;=59.5,"C4",IF(J31&gt;=54.5,"C5",IF(J31&gt;=49.5,"C6",IF(J31&gt;=44.5,"D7",IF(J31&gt;=39.5,"E8","F"))))))))</f>
        <v>F</v>
      </c>
      <c r="N31" s="25" t="str">
        <f>IF(J31&gt;=89.5,"EXCELLENT",IF(J31&gt;=79.5,"VERY GOOD",IF(J31&gt;=69.5,"GOOD",IF(J31&gt;=59.5,"CREDIT",IF(J31&gt;=54.5,"CREDIT",IF(J31&gt;=49.5,"CREDIT",IF(J31&gt;=44.5,"PASS",IF(J31&gt;=39.5,"PASS","FAIL"))))))))</f>
        <v>FAIL</v>
      </c>
      <c r="O31" s="2"/>
    </row>
    <row r="32" spans="1:26" ht="15.75" thickBot="1" x14ac:dyDescent="0.25">
      <c r="A32" s="51" t="s">
        <v>27</v>
      </c>
      <c r="B32" s="44">
        <v>61.8</v>
      </c>
      <c r="C32" s="44">
        <v>84.1</v>
      </c>
      <c r="D32" s="52">
        <v>7.2</v>
      </c>
      <c r="E32" s="52">
        <v>3.3</v>
      </c>
      <c r="F32" s="53">
        <v>5.8333333329999997</v>
      </c>
      <c r="G32" s="52">
        <v>5</v>
      </c>
      <c r="H32" s="45">
        <v>47</v>
      </c>
      <c r="I32" s="39">
        <f>SUM(D32:H32)</f>
        <v>68.333333332999999</v>
      </c>
      <c r="J32" s="39">
        <f>SUM(B32,C32,I32)/3</f>
        <v>71.411111110999983</v>
      </c>
      <c r="K32" s="39">
        <v>47.3</v>
      </c>
      <c r="L32" s="2">
        <v>71.900000000000006</v>
      </c>
      <c r="M32" s="24" t="str">
        <f>IF(J32&gt;=89.5,"A1",IF(J32&gt;=79.5,"B2",IF(J32&gt;=69.5,"B3",IF(J32&gt;=59.5,"C4",IF(J32&gt;=54.5,"C5",IF(J32&gt;=49.5,"C6",IF(J32&gt;=44.5,"D7",IF(J32&gt;=39.5,"E8","F"))))))))</f>
        <v>B3</v>
      </c>
      <c r="N32" s="25" t="str">
        <f>IF(J32&gt;=89.5,"EXCELLENT",IF(J32&gt;=79.5,"VERY GOOD",IF(J32&gt;=69.5,"GOOD",IF(J32&gt;=59.5,"CREDIT",IF(J32&gt;=54.5,"CREDIT",IF(J32&gt;=49.5,"CREDIT",IF(J32&gt;=44.5,"PASS",IF(J32&gt;=39.5,"PASS","FAIL"))))))))</f>
        <v>GOOD</v>
      </c>
      <c r="O32" s="2"/>
    </row>
    <row r="33" spans="1:16" ht="15.75" hidden="1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>SUM(D33:H33)</f>
        <v>0</v>
      </c>
      <c r="J33" s="39">
        <f>SUM(B33,C33,I33)/3</f>
        <v>0</v>
      </c>
      <c r="K33" s="39"/>
      <c r="L33" s="2"/>
      <c r="M33" s="24" t="str">
        <f>IF(J33&gt;=89.5,"A1",IF(J33&gt;=79.5,"B2",IF(J33&gt;=69.5,"B3",IF(J33&gt;=59.5,"C4",IF(J33&gt;=54.5,"C5",IF(J33&gt;=49.5,"C6",IF(J33&gt;=44.5,"D7",IF(J33&gt;=39.5,"E8","F"))))))))</f>
        <v>F</v>
      </c>
      <c r="N33" s="25" t="str">
        <f>IF(J33&gt;=89.5,"EXCELLENT",IF(J33&gt;=79.5,"VERY GOOD",IF(J33&gt;=69.5,"GOOD",IF(J33&gt;=59.5,"CREDIT",IF(J33&gt;=54.5,"CREDIT",IF(J33&gt;=49.5,"CREDIT",IF(J33&gt;=44.5,"PASS",IF(J33&gt;=39.5,"PASS","FAIL"))))))))</f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>
        <f>SUM(D34:H34)</f>
        <v>0</v>
      </c>
      <c r="J34" s="39">
        <f>SUM(B34,C34,I34)/3</f>
        <v>0</v>
      </c>
      <c r="K34" s="39"/>
      <c r="L34" s="2"/>
      <c r="M34" s="24" t="str">
        <f>IF(J34&gt;=89.5,"A1",IF(J34&gt;=79.5,"B2",IF(J34&gt;=69.5,"B3",IF(J34&gt;=59.5,"C4",IF(J34&gt;=54.5,"C5",IF(J34&gt;=49.5,"C6",IF(J34&gt;=44.5,"D7",IF(J34&gt;=39.5,"E8","F"))))))))</f>
        <v>F</v>
      </c>
      <c r="N34" s="25" t="str">
        <f>IF(J34&gt;=89.5,"EXCELLENT",IF(J34&gt;=79.5,"VERY GOOD",IF(J34&gt;=69.5,"GOOD",IF(J34&gt;=59.5,"CREDIT",IF(J34&gt;=54.5,"CREDIT",IF(J34&gt;=49.5,"CREDIT",IF(J34&gt;=44.5,"PASS",IF(J34&gt;=39.5,"PASS","FAIL"))))))))</f>
        <v>FAIL</v>
      </c>
      <c r="O34" s="2"/>
    </row>
    <row r="35" spans="1:16" ht="15.75" thickBot="1" x14ac:dyDescent="0.25">
      <c r="A35" s="51" t="s">
        <v>30</v>
      </c>
      <c r="B35" s="44">
        <v>62.7</v>
      </c>
      <c r="C35" s="44">
        <v>46.9</v>
      </c>
      <c r="D35" s="52">
        <v>5.6</v>
      </c>
      <c r="E35" s="52">
        <v>2.8</v>
      </c>
      <c r="F35" s="53">
        <v>2.3333333330000001</v>
      </c>
      <c r="G35" s="52">
        <v>4</v>
      </c>
      <c r="H35" s="48">
        <v>29</v>
      </c>
      <c r="I35" s="39">
        <f>SUM(D35:H35)</f>
        <v>43.733333332999997</v>
      </c>
      <c r="J35" s="39">
        <f>SUM(B35,C35,I35)/3</f>
        <v>51.111111110999992</v>
      </c>
      <c r="K35" s="39">
        <v>42.6</v>
      </c>
      <c r="L35" s="2">
        <v>85.3</v>
      </c>
      <c r="M35" s="24" t="str">
        <f>IF(J35&gt;=89.5,"A1",IF(J35&gt;=79.5,"B2",IF(J35&gt;=69.5,"B3",IF(J35&gt;=59.5,"C4",IF(J35&gt;=54.5,"C5",IF(J35&gt;=49.5,"C6",IF(J35&gt;=44.5,"D7",IF(J35&gt;=39.5,"E8","F"))))))))</f>
        <v>C6</v>
      </c>
      <c r="N35" s="25" t="str">
        <f>IF(J35&gt;=89.5,"EXCELLENT",IF(J35&gt;=79.5,"VERY GOOD",IF(J35&gt;=69.5,"GOOD",IF(J35&gt;=59.5,"CREDIT",IF(J35&gt;=54.5,"CREDIT",IF(J35&gt;=49.5,"CREDIT",IF(J35&gt;=44.5,"PASS",IF(J35&gt;=39.5,"PASS","FAIL"))))))))</f>
        <v>CREDIT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>
        <f>SUM(D36:H36)</f>
        <v>0</v>
      </c>
      <c r="J36" s="39">
        <f>SUM(B36,C36,I36)/3</f>
        <v>0</v>
      </c>
      <c r="K36" s="39"/>
      <c r="L36" s="2"/>
      <c r="M36" s="24" t="str">
        <f>IF(J36&gt;=89.5,"A1",IF(J36&gt;=79.5,"B2",IF(J36&gt;=69.5,"B3",IF(J36&gt;=59.5,"C4",IF(J36&gt;=54.5,"C5",IF(J36&gt;=49.5,"C6",IF(J36&gt;=44.5,"D7",IF(J36&gt;=39.5,"E8","F"))))))))</f>
        <v>F</v>
      </c>
      <c r="N36" s="25" t="str">
        <f>IF(J36&gt;=89.5,"EXCELLENT",IF(J36&gt;=79.5,"VERY GOOD",IF(J36&gt;=69.5,"GOOD",IF(J36&gt;=59.5,"CREDIT",IF(J36&gt;=54.5,"CREDIT",IF(J36&gt;=49.5,"CREDIT",IF(J36&gt;=44.5,"PASS",IF(J36&gt;=39.5,"PASS","FAIL"))))))))</f>
        <v>FAIL</v>
      </c>
      <c r="O36" s="2"/>
    </row>
    <row r="37" spans="1:16" ht="15.75" thickBot="1" x14ac:dyDescent="0.25">
      <c r="A37" s="51" t="s">
        <v>32</v>
      </c>
      <c r="B37" s="44">
        <v>46.3</v>
      </c>
      <c r="C37" s="44">
        <v>58</v>
      </c>
      <c r="D37" s="52">
        <v>8.25</v>
      </c>
      <c r="E37" s="52">
        <v>4.0999999999999996</v>
      </c>
      <c r="F37" s="53">
        <v>6.6666666670000003</v>
      </c>
      <c r="G37" s="52">
        <v>4</v>
      </c>
      <c r="H37" s="45">
        <v>41</v>
      </c>
      <c r="I37" s="39">
        <f>SUM(D37:H37)</f>
        <v>64.016666666999996</v>
      </c>
      <c r="J37" s="39">
        <f>SUM(B37,C37,I37)/3</f>
        <v>56.105555555666662</v>
      </c>
      <c r="K37" s="39">
        <v>40.299999999999997</v>
      </c>
      <c r="L37" s="2">
        <v>74.8</v>
      </c>
      <c r="M37" s="24" t="str">
        <f>IF(J37&gt;=89.5,"A1",IF(J37&gt;=79.5,"B2",IF(J37&gt;=69.5,"B3",IF(J37&gt;=59.5,"C4",IF(J37&gt;=54.5,"C5",IF(J37&gt;=49.5,"C6",IF(J37&gt;=44.5,"D7",IF(J37&gt;=39.5,"E8","F"))))))))</f>
        <v>C5</v>
      </c>
      <c r="N37" s="25" t="str">
        <f>IF(J37&gt;=89.5,"EXCELLENT",IF(J37&gt;=79.5,"VERY GOOD",IF(J37&gt;=69.5,"GOOD",IF(J37&gt;=59.5,"CREDIT",IF(J37&gt;=54.5,"CREDIT",IF(J37&gt;=49.5,"CREDIT",IF(J37&gt;=44.5,"PASS",IF(J37&gt;=39.5,"PASS","FAIL"))))))))</f>
        <v>CREDIT</v>
      </c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509.29452380966671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</row>
    <row r="41" spans="1:16" ht="15.75" thickBot="1" x14ac:dyDescent="0.25">
      <c r="A41" s="17" t="s">
        <v>48</v>
      </c>
      <c r="B41" s="6"/>
      <c r="C41" s="6"/>
      <c r="D41" s="6">
        <f>SUM(J15:J37)/9</f>
        <v>56.588280423296304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3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3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J27*4,J28*5,J29*3,J30*3,J31*3,J32*3,J33*4,J34*3,J35*2,J37*3)/620</f>
        <v>2.5101350486440861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4</v>
      </c>
    </row>
    <row r="47" spans="1:16" ht="15.75" thickBot="1" x14ac:dyDescent="0.25">
      <c r="A47" s="15" t="s">
        <v>64</v>
      </c>
      <c r="B47" s="6"/>
      <c r="C47" s="6"/>
      <c r="D47" s="6">
        <v>122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3</v>
      </c>
      <c r="P48" s="47"/>
    </row>
    <row r="49" spans="1:16" ht="15.75" thickBot="1" x14ac:dyDescent="0.25">
      <c r="A49" s="16" t="s">
        <v>54</v>
      </c>
      <c r="B49" s="6"/>
      <c r="C49" s="6"/>
      <c r="D49" s="6">
        <v>118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42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8D10-F154-B644-895C-69462B9A9347}">
  <dimension ref="A1:Z55"/>
  <sheetViews>
    <sheetView topLeftCell="A15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hidden="1" customWidth="1"/>
    <col min="4" max="4" width="4.5703125" customWidth="1"/>
    <col min="5" max="5" width="5.6484375" customWidth="1"/>
    <col min="6" max="6" width="5.109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100</v>
      </c>
      <c r="B10" s="63"/>
      <c r="C10" s="63"/>
      <c r="D10" s="63"/>
      <c r="E10" s="63"/>
      <c r="F10" s="63"/>
      <c r="G10" s="63"/>
      <c r="H10" s="63"/>
      <c r="I10" s="63"/>
      <c r="J10" s="63" t="s">
        <v>101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/>
      <c r="C17" s="44"/>
      <c r="D17" s="52">
        <v>10</v>
      </c>
      <c r="E17" s="52">
        <v>4.9000000000000004</v>
      </c>
      <c r="F17" s="53">
        <v>9.8333333330000006</v>
      </c>
      <c r="G17" s="52">
        <v>5</v>
      </c>
      <c r="H17" s="45">
        <v>52.5</v>
      </c>
      <c r="I17" s="39">
        <f t="shared" si="0"/>
        <v>82.233333333000004</v>
      </c>
      <c r="J17" s="39">
        <f>SUM(B17,C17,I17)/1</f>
        <v>82.233333333000004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A1</v>
      </c>
      <c r="N17" s="25" t="str">
        <f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>SUM(D18:H18)</f>
        <v>0</v>
      </c>
      <c r="J18" s="39">
        <f>SUM(B18,C18,I18)/1</f>
        <v>0</v>
      </c>
      <c r="K18" s="39"/>
      <c r="L18" s="2"/>
      <c r="M18" s="24" t="str">
        <f t="shared" ref="M18:M35" si="4">IF(J18&gt;=75,"A1",IF(J18&gt;=70,"B2",IF(J18&gt;=65,"B3",IF(J18&gt;=60,"C4",IF(J18&gt;=55,"C5",IF(J18&gt;=50,"C6",IF(J18&gt;=45,"D7",IF(J18&gt;=40,"E8","F9"))))))))</f>
        <v>F9</v>
      </c>
      <c r="N18" s="25" t="str">
        <f t="shared" ref="N18:N35" si="5">IF(J18&gt;=75,"EXCELLENT",IF(J18&gt;=70,"VERY GOOD",IF(J18&gt;=65,"GOOD",IF(J18&gt;=50,"CREDIT",IF(J18&gt;=40,"PASS","FAIL")))))</f>
        <v>FAIL</v>
      </c>
      <c r="O18" s="2"/>
    </row>
    <row r="19" spans="1:26" ht="15.75" hidden="1" thickBot="1" x14ac:dyDescent="0.25">
      <c r="A19" s="51" t="s">
        <v>14</v>
      </c>
      <c r="B19" s="44"/>
      <c r="C19" s="44"/>
      <c r="D19" s="52"/>
      <c r="E19" s="52"/>
      <c r="F19" s="53"/>
      <c r="G19" s="52"/>
      <c r="H19" s="45"/>
      <c r="I19" s="39">
        <f>SUM(D19:H19)</f>
        <v>0</v>
      </c>
      <c r="J19" s="39">
        <f>SUM(B19,C19,I19)/1</f>
        <v>0</v>
      </c>
      <c r="K19" s="39"/>
      <c r="L19" s="2"/>
      <c r="M19" s="24" t="str">
        <f t="shared" si="4"/>
        <v>F9</v>
      </c>
      <c r="N19" s="25" t="str">
        <f t="shared" si="5"/>
        <v>FAIL</v>
      </c>
      <c r="O19" s="2"/>
    </row>
    <row r="20" spans="1:26" ht="15.75" thickBot="1" x14ac:dyDescent="0.25">
      <c r="A20" s="51" t="s">
        <v>15</v>
      </c>
      <c r="B20" s="44"/>
      <c r="C20" s="44"/>
      <c r="D20" s="52">
        <v>7</v>
      </c>
      <c r="E20" s="52">
        <v>4.4000000000000004</v>
      </c>
      <c r="F20" s="53">
        <v>6</v>
      </c>
      <c r="G20" s="52">
        <v>5</v>
      </c>
      <c r="H20" s="45">
        <v>43</v>
      </c>
      <c r="I20" s="39">
        <f>SUM(D20:H20)</f>
        <v>65.400000000000006</v>
      </c>
      <c r="J20" s="39">
        <f>SUM(B20,C20,I20)/1</f>
        <v>65.400000000000006</v>
      </c>
      <c r="K20" s="39">
        <v>58.5</v>
      </c>
      <c r="L20" s="2">
        <v>65.400000000000006</v>
      </c>
      <c r="M20" s="24" t="str">
        <f t="shared" si="4"/>
        <v>B3</v>
      </c>
      <c r="N20" s="25" t="str">
        <f t="shared" si="5"/>
        <v>GOOD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SUM(B21,C21,I21)/1</f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51" t="s">
        <v>17</v>
      </c>
      <c r="B22" s="44"/>
      <c r="C22" s="44"/>
      <c r="D22" s="52">
        <v>9.8000000000000007</v>
      </c>
      <c r="E22" s="52">
        <v>5</v>
      </c>
      <c r="F22" s="53">
        <v>7.7777777779999999</v>
      </c>
      <c r="G22" s="52">
        <v>5</v>
      </c>
      <c r="H22" s="48">
        <v>40.5</v>
      </c>
      <c r="I22" s="39">
        <f>SUM(D22:H22)</f>
        <v>68.077777777999998</v>
      </c>
      <c r="J22" s="39">
        <f>SUM(B22,C22,I22)/1</f>
        <v>68.077777777999998</v>
      </c>
      <c r="K22" s="39">
        <v>30.3</v>
      </c>
      <c r="L22" s="2">
        <v>69.2</v>
      </c>
      <c r="M22" s="24" t="str">
        <f t="shared" si="4"/>
        <v>B3</v>
      </c>
      <c r="N22" s="25" t="str">
        <f t="shared" si="5"/>
        <v>GOOD</v>
      </c>
      <c r="O22" s="2"/>
    </row>
    <row r="23" spans="1:26" ht="15.75" thickBot="1" x14ac:dyDescent="0.25">
      <c r="A23" s="51" t="s">
        <v>18</v>
      </c>
      <c r="B23" s="44"/>
      <c r="C23" s="44"/>
      <c r="D23" s="52">
        <v>8</v>
      </c>
      <c r="E23" s="52">
        <v>2.5</v>
      </c>
      <c r="F23" s="53">
        <v>4.6666666670000003</v>
      </c>
      <c r="G23" s="52">
        <v>5</v>
      </c>
      <c r="H23" s="45">
        <v>15</v>
      </c>
      <c r="I23" s="39">
        <f>SUM(D23:H23)</f>
        <v>35.166666667000001</v>
      </c>
      <c r="J23" s="39">
        <f>SUM(B23,C23,I23)/1</f>
        <v>35.166666667000001</v>
      </c>
      <c r="K23" s="39">
        <v>31.3</v>
      </c>
      <c r="L23" s="2">
        <v>58.4</v>
      </c>
      <c r="M23" s="24" t="str">
        <f t="shared" si="4"/>
        <v>F9</v>
      </c>
      <c r="N23" s="25" t="str">
        <f t="shared" si="5"/>
        <v>FAIL</v>
      </c>
      <c r="O23" s="2"/>
    </row>
    <row r="24" spans="1:26" ht="15.75" thickBot="1" x14ac:dyDescent="0.25">
      <c r="A24" s="51" t="s">
        <v>19</v>
      </c>
      <c r="B24" s="44"/>
      <c r="C24" s="44"/>
      <c r="D24" s="52">
        <v>4.6666666670000003</v>
      </c>
      <c r="E24" s="52">
        <v>0</v>
      </c>
      <c r="F24" s="53">
        <v>3.6666666669999999</v>
      </c>
      <c r="G24" s="52">
        <v>5</v>
      </c>
      <c r="H24" s="45">
        <v>28</v>
      </c>
      <c r="I24" s="39">
        <f>SUM(D24:H24)</f>
        <v>41.333333334000002</v>
      </c>
      <c r="J24" s="39">
        <f>SUM(B24,C24,I24)/1</f>
        <v>41.333333334000002</v>
      </c>
      <c r="K24" s="39">
        <v>37.4</v>
      </c>
      <c r="L24" s="2">
        <v>41.3</v>
      </c>
      <c r="M24" s="24" t="str">
        <f t="shared" si="4"/>
        <v>E8</v>
      </c>
      <c r="N24" s="25" t="str">
        <f t="shared" si="5"/>
        <v>PASS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SUM(B25,C25,I25)/1</f>
        <v>0</v>
      </c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SUM(B26,C26,I26)/1</f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>
        <f>SUM(D27:H27)</f>
        <v>0</v>
      </c>
      <c r="J27" s="39">
        <f>SUM(B27,C27,I27)/1</f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51" t="s">
        <v>23</v>
      </c>
      <c r="B28" s="44"/>
      <c r="C28" s="44"/>
      <c r="D28" s="52">
        <v>7</v>
      </c>
      <c r="E28" s="52">
        <v>2.0416666669999999</v>
      </c>
      <c r="F28" s="53">
        <v>3.1666666669999999</v>
      </c>
      <c r="G28" s="52">
        <v>5</v>
      </c>
      <c r="H28" s="45">
        <v>14</v>
      </c>
      <c r="I28" s="39">
        <f>SUM(D28:H28)</f>
        <v>31.208333333999999</v>
      </c>
      <c r="J28" s="39">
        <f>SUM(B28,C28,I28)/1</f>
        <v>31.208333333999999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>
        <f>SUM(D29:H29)</f>
        <v>0</v>
      </c>
      <c r="J29" s="39">
        <f>SUM(B29,C29,I29)/1</f>
        <v>0</v>
      </c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51" t="s">
        <v>25</v>
      </c>
      <c r="B30" s="44"/>
      <c r="C30" s="44"/>
      <c r="D30" s="52">
        <v>8.6</v>
      </c>
      <c r="E30" s="52">
        <v>4.8</v>
      </c>
      <c r="F30" s="53">
        <v>7.0833333329999997</v>
      </c>
      <c r="G30" s="52">
        <v>5</v>
      </c>
      <c r="H30" s="45">
        <v>41</v>
      </c>
      <c r="I30" s="39">
        <f>SUM(D30:H30)</f>
        <v>66.48333333299999</v>
      </c>
      <c r="J30" s="39">
        <f>SUM(B30,C30,I30)/1</f>
        <v>66.48333333299999</v>
      </c>
      <c r="K30" s="39">
        <v>33.299999999999997</v>
      </c>
      <c r="L30" s="2">
        <v>66.5</v>
      </c>
      <c r="M30" s="24" t="str">
        <f t="shared" si="4"/>
        <v>B3</v>
      </c>
      <c r="N30" s="25" t="str">
        <f t="shared" si="5"/>
        <v>GOOD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>SUM(D31:H31)</f>
        <v>0</v>
      </c>
      <c r="J31" s="39">
        <f>SUM(B31,C31,I31)/1</f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hidden="1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>
        <f>SUM(D32:H32)</f>
        <v>0</v>
      </c>
      <c r="J32" s="39">
        <f>SUM(B32,C32,I32)/1</f>
        <v>0</v>
      </c>
      <c r="K32" s="39"/>
      <c r="L32" s="2"/>
      <c r="M32" s="24" t="str">
        <f t="shared" si="4"/>
        <v>F9</v>
      </c>
      <c r="N32" s="25" t="str">
        <f t="shared" si="5"/>
        <v>FAIL</v>
      </c>
      <c r="O32" s="2"/>
    </row>
    <row r="33" spans="1:16" ht="15.75" hidden="1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>SUM(D33:H33)</f>
        <v>0</v>
      </c>
      <c r="J33" s="39">
        <f>SUM(B33,C33,I33)/1</f>
        <v>0</v>
      </c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>
        <f>SUM(D34:H34)</f>
        <v>0</v>
      </c>
      <c r="J34" s="39">
        <f>SUM(B34,C34,I34)/1</f>
        <v>0</v>
      </c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51" t="s">
        <v>30</v>
      </c>
      <c r="B35" s="52"/>
      <c r="C35" s="52"/>
      <c r="D35" s="52">
        <v>5.6</v>
      </c>
      <c r="E35" s="52">
        <v>4</v>
      </c>
      <c r="F35" s="53">
        <v>9.4166666669999994</v>
      </c>
      <c r="G35" s="52">
        <v>4</v>
      </c>
      <c r="H35" s="48">
        <v>50</v>
      </c>
      <c r="I35" s="39">
        <f>SUM(D35:H35)</f>
        <v>73.016666666999996</v>
      </c>
      <c r="J35" s="39">
        <f>SUM(B35,C35,I35)/1</f>
        <v>73.016666666999996</v>
      </c>
      <c r="K35" s="39">
        <v>42.6</v>
      </c>
      <c r="L35" s="2">
        <v>85.3</v>
      </c>
      <c r="M35" s="24" t="str">
        <f t="shared" si="4"/>
        <v>B2</v>
      </c>
      <c r="N35" s="25" t="str">
        <f t="shared" si="5"/>
        <v>VERY GOOD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462.91944444599994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</row>
    <row r="41" spans="1:16" ht="15.75" thickBot="1" x14ac:dyDescent="0.25">
      <c r="A41" s="17" t="s">
        <v>48</v>
      </c>
      <c r="B41" s="6"/>
      <c r="C41" s="6"/>
      <c r="D41" s="6">
        <f>SUM(J15:J37)/8</f>
        <v>57.864930555749993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4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J27*4,J28*5,J29*3,J30*3,J31*3,J32*3,J33*4,J34*3,J35*2,J37*3)/560</f>
        <v>2.6303422619178574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</row>
    <row r="47" spans="1:16" ht="15.75" thickBot="1" x14ac:dyDescent="0.25">
      <c r="A47" s="15" t="s">
        <v>64</v>
      </c>
      <c r="B47" s="6"/>
      <c r="C47" s="6"/>
      <c r="D47" s="6">
        <v>122</v>
      </c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4</v>
      </c>
      <c r="P48" s="47"/>
    </row>
    <row r="49" spans="1:16" ht="15.75" thickBot="1" x14ac:dyDescent="0.25">
      <c r="A49" s="16" t="s">
        <v>54</v>
      </c>
      <c r="B49" s="6"/>
      <c r="C49" s="6"/>
      <c r="D49" s="6">
        <v>114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44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9003-FC33-474D-AA34-8DDDDA4DBA28}">
  <dimension ref="A1:Z55"/>
  <sheetViews>
    <sheetView topLeftCell="G1" workbookViewId="0">
      <selection activeCell="C51" sqref="C51:H51"/>
    </sheetView>
  </sheetViews>
  <sheetFormatPr defaultRowHeight="15" x14ac:dyDescent="0.2"/>
  <cols>
    <col min="1" max="1" width="27.57421875" customWidth="1"/>
    <col min="2" max="2" width="4.5703125" bestFit="1" customWidth="1"/>
    <col min="3" max="3" width="5.6484375" customWidth="1"/>
    <col min="4" max="4" width="4.83984375" customWidth="1"/>
    <col min="5" max="5" width="5.37890625" customWidth="1"/>
    <col min="6" max="6" width="5.109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103</v>
      </c>
      <c r="B10" s="63"/>
      <c r="C10" s="63"/>
      <c r="D10" s="63"/>
      <c r="E10" s="63"/>
      <c r="F10" s="63"/>
      <c r="G10" s="63"/>
      <c r="H10" s="63"/>
      <c r="I10" s="63"/>
      <c r="J10" s="63" t="s">
        <v>102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>SUM(B16,C16,I16)/3</f>
        <v>0</v>
      </c>
      <c r="K16" s="39"/>
      <c r="L16" s="2"/>
      <c r="M16" s="24" t="str">
        <f t="shared" ref="M16:M35" si="1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2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/>
      <c r="C17" s="44"/>
      <c r="D17" s="48"/>
      <c r="E17" s="48"/>
      <c r="F17" s="48"/>
      <c r="G17" s="48"/>
      <c r="H17" s="45"/>
      <c r="I17" s="39">
        <f>SUM(D17:H17)</f>
        <v>0</v>
      </c>
      <c r="J17" s="39">
        <f>SUM(B17,C17,I17)/3</f>
        <v>0</v>
      </c>
      <c r="K17" s="39"/>
      <c r="L17" s="2"/>
      <c r="M17" s="24" t="str">
        <f t="shared" si="1"/>
        <v>F</v>
      </c>
      <c r="N17" s="25" t="str">
        <f t="shared" si="2"/>
        <v>FAIL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>SUM(D18:H18)</f>
        <v>0</v>
      </c>
      <c r="J18" s="39">
        <f>SUM(B18,C18,I18)/3</f>
        <v>0</v>
      </c>
      <c r="K18" s="39"/>
      <c r="L18" s="2"/>
      <c r="M18" s="24" t="str">
        <f t="shared" si="1"/>
        <v>F</v>
      </c>
      <c r="N18" s="25" t="str">
        <f t="shared" si="2"/>
        <v>FAIL</v>
      </c>
      <c r="O18" s="2"/>
    </row>
    <row r="19" spans="1:26" ht="15.75" hidden="1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>
        <f>SUM(D19:H19)</f>
        <v>0</v>
      </c>
      <c r="J19" s="39">
        <f>SUM(B19,C19,I19)/3</f>
        <v>0</v>
      </c>
      <c r="K19" s="39"/>
      <c r="L19" s="2"/>
      <c r="M19" s="24"/>
      <c r="N19" s="25"/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>
        <f>SUM(D20:H20)</f>
        <v>0</v>
      </c>
      <c r="J20" s="39">
        <f>SUM(B20,C20,I20)/3</f>
        <v>0</v>
      </c>
      <c r="K20" s="39"/>
      <c r="L20" s="2"/>
      <c r="M20" s="24"/>
      <c r="N20" s="25"/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SUM(B21,C21,I21)/3</f>
        <v>0</v>
      </c>
      <c r="K21" s="39"/>
      <c r="L21" s="2"/>
      <c r="M21" s="24" t="str">
        <f t="shared" si="1"/>
        <v>F</v>
      </c>
      <c r="N21" s="25" t="str">
        <f t="shared" si="2"/>
        <v>FAIL</v>
      </c>
      <c r="O21" s="2"/>
    </row>
    <row r="22" spans="1:26" ht="15.75" thickBot="1" x14ac:dyDescent="0.25">
      <c r="A22" s="51" t="s">
        <v>17</v>
      </c>
      <c r="B22" s="45"/>
      <c r="C22" s="45"/>
      <c r="D22" s="52"/>
      <c r="E22" s="52"/>
      <c r="F22" s="53"/>
      <c r="G22" s="52"/>
      <c r="H22" s="48"/>
      <c r="I22" s="39">
        <f>SUM(D22:H22)</f>
        <v>0</v>
      </c>
      <c r="J22" s="39">
        <f>SUM(B22,C22,I22)/3</f>
        <v>0</v>
      </c>
      <c r="K22" s="39"/>
      <c r="L22" s="2"/>
      <c r="M22" s="24" t="str">
        <f t="shared" si="1"/>
        <v>F</v>
      </c>
      <c r="N22" s="25" t="str">
        <f t="shared" si="2"/>
        <v>FAIL</v>
      </c>
      <c r="O22" s="2"/>
    </row>
    <row r="23" spans="1:26" ht="15.75" thickBot="1" x14ac:dyDescent="0.25">
      <c r="A23" s="51" t="s">
        <v>18</v>
      </c>
      <c r="B23" s="45"/>
      <c r="C23" s="45"/>
      <c r="D23" s="52"/>
      <c r="E23" s="52"/>
      <c r="F23" s="53"/>
      <c r="G23" s="52"/>
      <c r="H23" s="45"/>
      <c r="I23" s="39">
        <f>SUM(D23:H23)</f>
        <v>0</v>
      </c>
      <c r="J23" s="39">
        <f>SUM(B23,C23,I23)/3</f>
        <v>0</v>
      </c>
      <c r="K23" s="39"/>
      <c r="L23" s="2"/>
      <c r="M23" s="24" t="str">
        <f t="shared" si="1"/>
        <v>F</v>
      </c>
      <c r="N23" s="25" t="str">
        <f t="shared" si="2"/>
        <v>FAIL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>
        <f>SUM(D24:H24)</f>
        <v>0</v>
      </c>
      <c r="J24" s="39">
        <f>SUM(B24,C24,I24)/3</f>
        <v>0</v>
      </c>
      <c r="K24" s="39"/>
      <c r="L24" s="2"/>
      <c r="M24" s="24"/>
      <c r="N24" s="25"/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SUM(B25,C25,I25)/3</f>
        <v>0</v>
      </c>
      <c r="K25" s="39"/>
      <c r="L25" s="2"/>
      <c r="M25" s="24"/>
      <c r="N25" s="25"/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SUM(B26,C26,I26)/3</f>
        <v>0</v>
      </c>
      <c r="K26" s="39"/>
      <c r="L26" s="2"/>
      <c r="M26" s="24" t="str">
        <f t="shared" si="1"/>
        <v>F</v>
      </c>
      <c r="N26" s="25" t="str">
        <f t="shared" si="2"/>
        <v>FAIL</v>
      </c>
      <c r="O26" s="2"/>
    </row>
    <row r="27" spans="1:26" ht="15.75" thickBot="1" x14ac:dyDescent="0.25">
      <c r="A27" s="51" t="s">
        <v>22</v>
      </c>
      <c r="B27" s="52"/>
      <c r="C27" s="52"/>
      <c r="D27" s="52"/>
      <c r="E27" s="52"/>
      <c r="F27" s="53"/>
      <c r="G27" s="52"/>
      <c r="H27" s="45"/>
      <c r="I27" s="39">
        <f>SUM(D27:H27)</f>
        <v>0</v>
      </c>
      <c r="J27" s="39">
        <f>SUM(B27,C27,I27)/1</f>
        <v>0</v>
      </c>
      <c r="K27" s="39"/>
      <c r="L27" s="2"/>
      <c r="M27" s="24" t="str">
        <f t="shared" si="1"/>
        <v>F</v>
      </c>
      <c r="N27" s="25" t="str">
        <f t="shared" si="2"/>
        <v>FAIL</v>
      </c>
      <c r="O27" s="2"/>
    </row>
    <row r="28" spans="1:26" ht="15.75" thickBot="1" x14ac:dyDescent="0.25">
      <c r="A28" s="51" t="s">
        <v>23</v>
      </c>
      <c r="B28" s="45"/>
      <c r="C28" s="45"/>
      <c r="D28" s="52"/>
      <c r="E28" s="52"/>
      <c r="F28" s="53"/>
      <c r="G28" s="52"/>
      <c r="H28" s="45"/>
      <c r="I28" s="39">
        <f>SUM(D28:H28)</f>
        <v>0</v>
      </c>
      <c r="J28" s="39">
        <f>SUM(B28,C28,I28)/3</f>
        <v>0</v>
      </c>
      <c r="K28" s="39"/>
      <c r="L28" s="2"/>
      <c r="M28" s="24" t="str">
        <f t="shared" si="1"/>
        <v>F</v>
      </c>
      <c r="N28" s="25" t="str">
        <f t="shared" si="2"/>
        <v>FAIL</v>
      </c>
      <c r="O28" s="2"/>
    </row>
    <row r="29" spans="1:26" ht="15.75" thickBot="1" x14ac:dyDescent="0.25">
      <c r="A29" s="51" t="s">
        <v>24</v>
      </c>
      <c r="B29" s="45"/>
      <c r="C29" s="45"/>
      <c r="D29" s="52"/>
      <c r="E29" s="52"/>
      <c r="F29" s="53"/>
      <c r="G29" s="52"/>
      <c r="H29" s="45"/>
      <c r="I29" s="39">
        <f>SUM(D29:H29)</f>
        <v>0</v>
      </c>
      <c r="J29" s="39">
        <f>SUM(B29,C29,I29)/3</f>
        <v>0</v>
      </c>
      <c r="K29" s="39"/>
      <c r="L29" s="2"/>
      <c r="M29" s="24"/>
      <c r="N29" s="25"/>
      <c r="O29" s="2"/>
    </row>
    <row r="30" spans="1:26" ht="15.75" hidden="1" thickBot="1" x14ac:dyDescent="0.25">
      <c r="A30" s="51" t="s">
        <v>25</v>
      </c>
      <c r="B30" s="45"/>
      <c r="C30" s="45"/>
      <c r="D30" s="52"/>
      <c r="E30" s="52"/>
      <c r="F30" s="53"/>
      <c r="G30" s="52"/>
      <c r="H30" s="45"/>
      <c r="I30" s="39">
        <f>SUM(D30:H30)</f>
        <v>0</v>
      </c>
      <c r="J30" s="39">
        <f>SUM(B30,C30,I30)/3</f>
        <v>0</v>
      </c>
      <c r="K30" s="39"/>
      <c r="L30" s="2"/>
      <c r="M30" s="24"/>
      <c r="N30" s="25"/>
      <c r="O30" s="2"/>
    </row>
    <row r="31" spans="1:26" ht="15.75" hidden="1" thickBot="1" x14ac:dyDescent="0.25">
      <c r="A31" s="51" t="s">
        <v>26</v>
      </c>
      <c r="B31" s="45"/>
      <c r="C31" s="45"/>
      <c r="D31" s="45"/>
      <c r="E31" s="45"/>
      <c r="F31" s="45"/>
      <c r="G31" s="45"/>
      <c r="H31" s="45"/>
      <c r="I31" s="39">
        <f>SUM(D31:H31)</f>
        <v>0</v>
      </c>
      <c r="J31" s="39">
        <f>SUM(B31,C31,I31)/3</f>
        <v>0</v>
      </c>
      <c r="K31" s="39"/>
      <c r="L31" s="2"/>
      <c r="M31" s="24" t="str">
        <f t="shared" si="1"/>
        <v>F</v>
      </c>
      <c r="N31" s="25" t="str">
        <f t="shared" si="2"/>
        <v>FAIL</v>
      </c>
      <c r="O31" s="2"/>
    </row>
    <row r="32" spans="1:26" ht="15.75" hidden="1" thickBot="1" x14ac:dyDescent="0.25">
      <c r="A32" s="51" t="s">
        <v>27</v>
      </c>
      <c r="B32" s="45"/>
      <c r="C32" s="45"/>
      <c r="D32" s="52"/>
      <c r="E32" s="52"/>
      <c r="F32" s="53"/>
      <c r="G32" s="52"/>
      <c r="H32" s="45"/>
      <c r="I32" s="39">
        <f>SUM(D32:H32)</f>
        <v>0</v>
      </c>
      <c r="J32" s="39">
        <f>SUM(B32,C32,I32)/3</f>
        <v>0</v>
      </c>
      <c r="K32" s="39"/>
      <c r="L32" s="2"/>
      <c r="M32" s="24"/>
      <c r="N32" s="25"/>
      <c r="O32" s="2"/>
    </row>
    <row r="33" spans="1:16" ht="15.75" thickBot="1" x14ac:dyDescent="0.25">
      <c r="A33" s="51" t="s">
        <v>28</v>
      </c>
      <c r="B33" s="45"/>
      <c r="C33" s="45"/>
      <c r="D33" s="52"/>
      <c r="E33" s="52"/>
      <c r="F33" s="53"/>
      <c r="G33" s="52"/>
      <c r="H33" s="45"/>
      <c r="I33" s="39">
        <f>SUM(D33:H33)</f>
        <v>0</v>
      </c>
      <c r="J33" s="39">
        <f>SUM(B33,C33,I33)/3</f>
        <v>0</v>
      </c>
      <c r="K33" s="39"/>
      <c r="L33" s="2"/>
      <c r="M33" s="24" t="str">
        <f t="shared" si="1"/>
        <v>F</v>
      </c>
      <c r="N33" s="25" t="str">
        <f t="shared" si="2"/>
        <v>FAIL</v>
      </c>
      <c r="O33" s="2"/>
    </row>
    <row r="34" spans="1:16" ht="15.75" thickBot="1" x14ac:dyDescent="0.25">
      <c r="A34" s="51" t="s">
        <v>29</v>
      </c>
      <c r="B34" s="45"/>
      <c r="C34" s="45"/>
      <c r="D34" s="45"/>
      <c r="E34" s="45"/>
      <c r="F34" s="45"/>
      <c r="G34" s="45"/>
      <c r="H34" s="45"/>
      <c r="I34" s="39">
        <f>SUM(D34:H34)</f>
        <v>0</v>
      </c>
      <c r="J34" s="39">
        <f>SUM(B34,C34,I34)/3</f>
        <v>0</v>
      </c>
      <c r="K34" s="39"/>
      <c r="L34" s="2"/>
      <c r="M34" s="24" t="str">
        <f t="shared" si="1"/>
        <v>F</v>
      </c>
      <c r="N34" s="25" t="str">
        <f>IF(J34&gt;=89.5,"EXCELLENT",IF(J34&gt;=79.5,"VERY GOOD",IF(J34&gt;=69.5,"GOOD",IF(J34&gt;=59.5,"CREDIT",IF(J34&gt;=54.5,"CREDIT",IF(J34&gt;=49.5,"CREDIT",IF(J34&gt;=44.5,"PASS",IF(J34&gt;=39.5,"PASS","FAIL"))))))))</f>
        <v>FAIL</v>
      </c>
      <c r="O34" s="2"/>
    </row>
    <row r="35" spans="1:16" ht="15.75" thickBot="1" x14ac:dyDescent="0.25">
      <c r="A35" s="51" t="s">
        <v>30</v>
      </c>
      <c r="B35" s="45"/>
      <c r="C35" s="45"/>
      <c r="D35" s="52"/>
      <c r="E35" s="52"/>
      <c r="F35" s="53"/>
      <c r="G35" s="52"/>
      <c r="H35" s="45"/>
      <c r="I35" s="39">
        <f>SUM(D35:H35)</f>
        <v>0</v>
      </c>
      <c r="J35" s="39">
        <f>SUM(B35,C35,I35)/3</f>
        <v>0</v>
      </c>
      <c r="K35" s="39"/>
      <c r="L35" s="2"/>
      <c r="M35" s="24" t="str">
        <f t="shared" si="1"/>
        <v>F</v>
      </c>
      <c r="N35" s="25" t="str">
        <f t="shared" si="2"/>
        <v>FAIL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hidden="1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0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</row>
    <row r="41" spans="1:16" ht="15.75" thickBot="1" x14ac:dyDescent="0.25">
      <c r="A41" s="17" t="s">
        <v>48</v>
      </c>
      <c r="B41" s="6"/>
      <c r="C41" s="6"/>
      <c r="D41" s="6">
        <f>SUM(J15:J37)/11</f>
        <v>0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/>
    </row>
    <row r="42" spans="1:16" ht="15.75" thickBot="1" x14ac:dyDescent="0.25">
      <c r="A42" s="11"/>
      <c r="K42" s="58" t="s">
        <v>55</v>
      </c>
      <c r="L42" s="58"/>
      <c r="M42" s="58"/>
      <c r="N42" s="58"/>
      <c r="O42" s="20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/>
    </row>
    <row r="44" spans="1:16" ht="15.75" thickBot="1" x14ac:dyDescent="0.25">
      <c r="A44" s="11"/>
      <c r="K44" s="58" t="s">
        <v>37</v>
      </c>
      <c r="L44" s="58"/>
      <c r="M44" s="58"/>
      <c r="N44" s="58"/>
      <c r="O44" s="20"/>
    </row>
    <row r="45" spans="1:16" ht="15.75" thickBot="1" x14ac:dyDescent="0.25">
      <c r="A45" s="17" t="s">
        <v>49</v>
      </c>
      <c r="B45" s="6"/>
      <c r="C45" s="6"/>
      <c r="D45" s="6">
        <f>SUM(J15*3,J16*3,J17*2,J18*3,J19*3,J20*4,J21*2,J22*3,J23*4,J24*4,J25*3,J28*5,J29*3,J30*3,J31*3,J32*3,J33*3,J34*3,J35*2,J37*3)/660</f>
        <v>0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/>
    </row>
    <row r="47" spans="1:16" ht="15.75" thickBot="1" x14ac:dyDescent="0.25">
      <c r="A47" s="15" t="s">
        <v>64</v>
      </c>
      <c r="B47" s="6"/>
      <c r="D47" s="6">
        <v>124</v>
      </c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/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/>
      <c r="P48" s="47"/>
    </row>
    <row r="49" spans="1:16" ht="15.75" thickBot="1" x14ac:dyDescent="0.25">
      <c r="A49" s="16" t="s">
        <v>54</v>
      </c>
      <c r="B49" s="6"/>
      <c r="C49" s="6"/>
      <c r="D49" s="6"/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/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/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7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TRIAL,BUT MUST ATTEND INTERVENTION CLASS","TO REPEAT SS2"))</f>
        <v>TO REPEAT SS2</v>
      </c>
      <c r="E53" s="59"/>
      <c r="F53" s="59"/>
      <c r="G53" s="59"/>
      <c r="H53" s="59"/>
      <c r="I53" s="59"/>
      <c r="J53" s="59"/>
      <c r="K53" s="19"/>
      <c r="L53" s="19"/>
      <c r="M53" s="19"/>
      <c r="N53" s="19"/>
      <c r="O53" s="1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J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D87D-F589-D440-AD2A-7C44ACF7576D}">
  <dimension ref="A1:Z55"/>
  <sheetViews>
    <sheetView tabSelected="1" topLeftCell="A33" workbookViewId="0">
      <selection activeCell="D53" sqref="D53:O53"/>
    </sheetView>
  </sheetViews>
  <sheetFormatPr defaultRowHeight="15" x14ac:dyDescent="0.2"/>
  <cols>
    <col min="1" max="1" width="27.57421875" customWidth="1"/>
    <col min="2" max="3" width="4.5703125" hidden="1" customWidth="1"/>
    <col min="4" max="4" width="4.5703125" customWidth="1"/>
    <col min="5" max="5" width="5.37890625" customWidth="1"/>
    <col min="6" max="6" width="4.83984375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106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104</v>
      </c>
      <c r="B10" s="63"/>
      <c r="C10" s="63"/>
      <c r="D10" s="63"/>
      <c r="E10" s="63"/>
      <c r="F10" s="63"/>
      <c r="G10" s="63"/>
      <c r="H10" s="63"/>
      <c r="I10" s="63"/>
      <c r="J10" s="63" t="s">
        <v>105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hidden="1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hidden="1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/>
      <c r="C17" s="44"/>
      <c r="D17" s="52">
        <v>5.6</v>
      </c>
      <c r="E17" s="52">
        <v>3</v>
      </c>
      <c r="F17" s="53">
        <v>9.75</v>
      </c>
      <c r="G17" s="52">
        <v>5</v>
      </c>
      <c r="H17" s="45">
        <v>53.5</v>
      </c>
      <c r="I17" s="39">
        <f t="shared" si="0"/>
        <v>76.849999999999994</v>
      </c>
      <c r="J17" s="39">
        <f t="shared" si="1"/>
        <v>76.849999999999994</v>
      </c>
      <c r="K17" s="39">
        <v>48.3</v>
      </c>
      <c r="L17" s="2">
        <v>88.3</v>
      </c>
      <c r="M17" s="24" t="str">
        <f>IF(J17&gt;=75,"A1",IF(J17&gt;=70,"B2",IF(J17&gt;=65,"B3",IF(J17&gt;=60,"C4",IF(J17&gt;=55,"C5",IF(J17&gt;=50,"C6",IF(J17&gt;=45,"D7",IF(J17&gt;=40,"E8","F9"))))))))</f>
        <v>A1</v>
      </c>
      <c r="N17" s="25" t="str">
        <f>IF(J17&gt;=75,"EXCELLENT",IF(J17&gt;=70,"VERY GOOD",IF(J17&gt;=65,"GOOD",IF(J17&gt;=50,"CREDIT",IF(J17&gt;=40,"PASS","FAIL")))))</f>
        <v>EXCELLENT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hidden="1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>SUM(D18:H18)</f>
        <v>0</v>
      </c>
      <c r="J18" s="39">
        <f>SUM(B18,C18,I18)/1</f>
        <v>0</v>
      </c>
      <c r="K18" s="39"/>
      <c r="L18" s="2"/>
      <c r="M18" s="24" t="str">
        <f t="shared" ref="M18:M37" si="4">IF(J18&gt;=75,"A1",IF(J18&gt;=70,"B2",IF(J18&gt;=65,"B3",IF(J18&gt;=60,"C4",IF(J18&gt;=55,"C5",IF(J18&gt;=50,"C6",IF(J18&gt;=45,"D7",IF(J18&gt;=40,"E8","F9"))))))))</f>
        <v>F9</v>
      </c>
      <c r="N18" s="25" t="str">
        <f t="shared" ref="N18:N37" si="5">IF(J18&gt;=75,"EXCELLENT",IF(J18&gt;=70,"VERY GOOD",IF(J18&gt;=65,"GOOD",IF(J18&gt;=50,"CREDIT",IF(J18&gt;=40,"PASS","FAIL")))))</f>
        <v>FAIL</v>
      </c>
      <c r="O18" s="2"/>
    </row>
    <row r="19" spans="1:26" ht="15.75" thickBot="1" x14ac:dyDescent="0.25">
      <c r="A19" s="51" t="s">
        <v>14</v>
      </c>
      <c r="B19" s="44"/>
      <c r="C19" s="44"/>
      <c r="D19" s="52">
        <v>9.25</v>
      </c>
      <c r="E19" s="52">
        <v>4.5999999999999996</v>
      </c>
      <c r="F19" s="53">
        <v>7.0833333329999997</v>
      </c>
      <c r="G19" s="52">
        <v>3</v>
      </c>
      <c r="H19" s="45">
        <v>52</v>
      </c>
      <c r="I19" s="39">
        <f>SUM(D19:H19)</f>
        <v>75.933333333000007</v>
      </c>
      <c r="J19" s="39">
        <f>SUM(B19,C19,I19)/1</f>
        <v>75.933333333000007</v>
      </c>
      <c r="K19" s="39">
        <v>52.2</v>
      </c>
      <c r="L19" s="2">
        <v>75.900000000000006</v>
      </c>
      <c r="M19" s="24" t="str">
        <f t="shared" si="4"/>
        <v>A1</v>
      </c>
      <c r="N19" s="25" t="str">
        <f t="shared" si="5"/>
        <v>EXCELLENT</v>
      </c>
      <c r="O19" s="2"/>
    </row>
    <row r="20" spans="1:26" ht="15.75" hidden="1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>
        <f>SUM(D20:H20)</f>
        <v>0</v>
      </c>
      <c r="J20" s="39">
        <f>SUM(B20,C20,I20)/1</f>
        <v>0</v>
      </c>
      <c r="K20" s="39"/>
      <c r="L20" s="2"/>
      <c r="M20" s="24" t="str">
        <f t="shared" si="4"/>
        <v>F9</v>
      </c>
      <c r="N20" s="25" t="str">
        <f t="shared" si="5"/>
        <v>FAIL</v>
      </c>
      <c r="O20" s="2"/>
    </row>
    <row r="21" spans="1:26" ht="15.75" hidden="1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>SUM(D21:H21)</f>
        <v>0</v>
      </c>
      <c r="J21" s="39">
        <f>SUM(B21,C21,I21)/1</f>
        <v>0</v>
      </c>
      <c r="K21" s="39"/>
      <c r="L21" s="2"/>
      <c r="M21" s="24" t="str">
        <f t="shared" si="4"/>
        <v>F9</v>
      </c>
      <c r="N21" s="25" t="str">
        <f t="shared" si="5"/>
        <v>FAIL</v>
      </c>
      <c r="O21" s="2"/>
    </row>
    <row r="22" spans="1:26" ht="15.75" thickBot="1" x14ac:dyDescent="0.25">
      <c r="A22" s="51" t="s">
        <v>17</v>
      </c>
      <c r="B22" s="44"/>
      <c r="C22" s="44"/>
      <c r="D22" s="52">
        <v>9.6</v>
      </c>
      <c r="E22" s="52">
        <v>4.2</v>
      </c>
      <c r="F22" s="53">
        <v>5.1111111109999996</v>
      </c>
      <c r="G22" s="52">
        <v>5</v>
      </c>
      <c r="H22" s="48">
        <v>37.5</v>
      </c>
      <c r="I22" s="39">
        <f>SUM(D22:H22)</f>
        <v>61.411111110999997</v>
      </c>
      <c r="J22" s="39">
        <f>SUM(B22,C22,I22)/1</f>
        <v>61.411111110999997</v>
      </c>
      <c r="K22" s="39">
        <v>30.3</v>
      </c>
      <c r="L22" s="2">
        <v>69.2</v>
      </c>
      <c r="M22" s="24" t="str">
        <f t="shared" si="4"/>
        <v>C4</v>
      </c>
      <c r="N22" s="25" t="str">
        <f t="shared" si="5"/>
        <v>CREDIT</v>
      </c>
      <c r="O22" s="2"/>
    </row>
    <row r="23" spans="1:26" ht="15.75" thickBot="1" x14ac:dyDescent="0.25">
      <c r="A23" s="51" t="s">
        <v>18</v>
      </c>
      <c r="B23" s="44"/>
      <c r="C23" s="44"/>
      <c r="D23" s="52">
        <v>5</v>
      </c>
      <c r="E23" s="52">
        <v>2.5</v>
      </c>
      <c r="F23" s="53">
        <v>6.6666666670000003</v>
      </c>
      <c r="G23" s="52">
        <v>5</v>
      </c>
      <c r="H23" s="45">
        <v>35</v>
      </c>
      <c r="I23" s="39">
        <f>SUM(D23:H23)</f>
        <v>54.166666667000001</v>
      </c>
      <c r="J23" s="39">
        <f>SUM(B23,C23,I23)/1</f>
        <v>54.166666667000001</v>
      </c>
      <c r="K23" s="39">
        <v>31.3</v>
      </c>
      <c r="L23" s="2">
        <v>58.4</v>
      </c>
      <c r="M23" s="24" t="str">
        <f t="shared" si="4"/>
        <v>C6</v>
      </c>
      <c r="N23" s="25" t="str">
        <f t="shared" si="5"/>
        <v>CREDIT</v>
      </c>
      <c r="O23" s="2"/>
    </row>
    <row r="24" spans="1:26" ht="15.75" hidden="1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>
        <f>SUM(D24:H24)</f>
        <v>0</v>
      </c>
      <c r="J24" s="39">
        <f>SUM(B24,C24,I24)/1</f>
        <v>0</v>
      </c>
      <c r="K24" s="39"/>
      <c r="L24" s="2"/>
      <c r="M24" s="24" t="str">
        <f t="shared" si="4"/>
        <v>F9</v>
      </c>
      <c r="N24" s="25" t="str">
        <f t="shared" si="5"/>
        <v>FAIL</v>
      </c>
      <c r="O24" s="2"/>
    </row>
    <row r="25" spans="1:26" ht="15.75" hidden="1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>
        <f>SUM(D25:H25)</f>
        <v>0</v>
      </c>
      <c r="J25" s="39">
        <f>SUM(B25,C25,I25)/1</f>
        <v>0</v>
      </c>
      <c r="K25" s="39"/>
      <c r="L25" s="2"/>
      <c r="M25" s="24" t="str">
        <f t="shared" si="4"/>
        <v>F9</v>
      </c>
      <c r="N25" s="25" t="str">
        <f t="shared" si="5"/>
        <v>FAIL</v>
      </c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>SUM(D26:H26)</f>
        <v>0</v>
      </c>
      <c r="J26" s="39">
        <f>SUM(B26,C26,I26)/1</f>
        <v>0</v>
      </c>
      <c r="K26" s="39"/>
      <c r="L26" s="2"/>
      <c r="M26" s="24" t="str">
        <f t="shared" si="4"/>
        <v>F9</v>
      </c>
      <c r="N26" s="25" t="str">
        <f t="shared" si="5"/>
        <v>FAIL</v>
      </c>
      <c r="O26" s="2"/>
    </row>
    <row r="27" spans="1:26" ht="15.75" hidden="1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>
        <f>SUM(D27:H27)</f>
        <v>0</v>
      </c>
      <c r="J27" s="39">
        <f>SUM(B27,C27,I27)/1</f>
        <v>0</v>
      </c>
      <c r="K27" s="39"/>
      <c r="L27" s="2"/>
      <c r="M27" s="24" t="str">
        <f t="shared" si="4"/>
        <v>F9</v>
      </c>
      <c r="N27" s="25" t="str">
        <f t="shared" si="5"/>
        <v>FAIL</v>
      </c>
      <c r="O27" s="2"/>
    </row>
    <row r="28" spans="1:26" ht="15.75" thickBot="1" x14ac:dyDescent="0.25">
      <c r="A28" s="51" t="s">
        <v>23</v>
      </c>
      <c r="B28" s="44"/>
      <c r="C28" s="44"/>
      <c r="D28" s="52">
        <v>7.8571428570000004</v>
      </c>
      <c r="E28" s="52">
        <v>2.9166666669999999</v>
      </c>
      <c r="F28" s="53">
        <v>4.25</v>
      </c>
      <c r="G28" s="52">
        <v>5</v>
      </c>
      <c r="H28" s="45">
        <v>8.6999999999999993</v>
      </c>
      <c r="I28" s="39">
        <f>SUM(D28:H28)</f>
        <v>28.723809524</v>
      </c>
      <c r="J28" s="39">
        <f>SUM(B28,C28,I28)/1</f>
        <v>28.723809524</v>
      </c>
      <c r="K28" s="39"/>
      <c r="L28" s="2"/>
      <c r="M28" s="24" t="str">
        <f t="shared" si="4"/>
        <v>F9</v>
      </c>
      <c r="N28" s="25" t="str">
        <f t="shared" si="5"/>
        <v>FAIL</v>
      </c>
      <c r="O28" s="2"/>
    </row>
    <row r="29" spans="1:26" ht="15.75" hidden="1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>
        <f>SUM(D29:H29)</f>
        <v>0</v>
      </c>
      <c r="J29" s="39">
        <f>SUM(B29,C29,I29)/1</f>
        <v>0</v>
      </c>
      <c r="K29" s="39"/>
      <c r="L29" s="2"/>
      <c r="M29" s="24" t="str">
        <f t="shared" si="4"/>
        <v>F9</v>
      </c>
      <c r="N29" s="25" t="str">
        <f t="shared" si="5"/>
        <v>FAIL</v>
      </c>
      <c r="O29" s="2"/>
    </row>
    <row r="30" spans="1:26" ht="15.75" thickBot="1" x14ac:dyDescent="0.25">
      <c r="A30" s="51" t="s">
        <v>25</v>
      </c>
      <c r="B30" s="44"/>
      <c r="C30" s="44"/>
      <c r="D30" s="52">
        <v>9.1999999999999993</v>
      </c>
      <c r="E30" s="52">
        <v>4.2</v>
      </c>
      <c r="F30" s="53">
        <v>6.9166666670000003</v>
      </c>
      <c r="G30" s="52">
        <v>4</v>
      </c>
      <c r="H30" s="45">
        <v>37</v>
      </c>
      <c r="I30" s="39">
        <f>SUM(D30:H30)</f>
        <v>61.316666667</v>
      </c>
      <c r="J30" s="39">
        <f>SUM(B30,C30,I30)/1</f>
        <v>61.316666667</v>
      </c>
      <c r="K30" s="39">
        <v>33.299999999999997</v>
      </c>
      <c r="L30" s="2">
        <v>66.5</v>
      </c>
      <c r="M30" s="24" t="str">
        <f t="shared" si="4"/>
        <v>C4</v>
      </c>
      <c r="N30" s="25" t="str">
        <f t="shared" si="5"/>
        <v>CREDIT</v>
      </c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>SUM(D31:H31)</f>
        <v>0</v>
      </c>
      <c r="J31" s="39">
        <f>SUM(B31,C31,I31)/1</f>
        <v>0</v>
      </c>
      <c r="K31" s="39"/>
      <c r="L31" s="2"/>
      <c r="M31" s="24" t="str">
        <f t="shared" si="4"/>
        <v>F9</v>
      </c>
      <c r="N31" s="25" t="str">
        <f t="shared" si="5"/>
        <v>FAIL</v>
      </c>
      <c r="O31" s="2"/>
    </row>
    <row r="32" spans="1:26" ht="15.75" thickBot="1" x14ac:dyDescent="0.25">
      <c r="A32" s="51" t="s">
        <v>27</v>
      </c>
      <c r="B32" s="44"/>
      <c r="C32" s="44"/>
      <c r="D32" s="52">
        <v>8</v>
      </c>
      <c r="E32" s="52">
        <v>3.4</v>
      </c>
      <c r="F32" s="53">
        <v>7</v>
      </c>
      <c r="G32" s="52">
        <v>5</v>
      </c>
      <c r="H32" s="45">
        <v>48.5</v>
      </c>
      <c r="I32" s="39">
        <f>SUM(D32:H32)</f>
        <v>71.900000000000006</v>
      </c>
      <c r="J32" s="39">
        <f>SUM(B32,C32,I32)/1</f>
        <v>71.900000000000006</v>
      </c>
      <c r="K32" s="39">
        <v>47.3</v>
      </c>
      <c r="L32" s="2">
        <v>71.900000000000006</v>
      </c>
      <c r="M32" s="24" t="str">
        <f t="shared" si="4"/>
        <v>B2</v>
      </c>
      <c r="N32" s="25" t="str">
        <f t="shared" si="5"/>
        <v>VERY GOOD</v>
      </c>
      <c r="O32" s="2"/>
    </row>
    <row r="33" spans="1:16" ht="15.75" hidden="1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>SUM(D33:H33)</f>
        <v>0</v>
      </c>
      <c r="J33" s="39">
        <f>SUM(B33,C33,I33)/1</f>
        <v>0</v>
      </c>
      <c r="K33" s="39"/>
      <c r="L33" s="2"/>
      <c r="M33" s="24" t="str">
        <f t="shared" si="4"/>
        <v>F9</v>
      </c>
      <c r="N33" s="25" t="str">
        <f t="shared" si="5"/>
        <v>FAIL</v>
      </c>
      <c r="O33" s="2"/>
    </row>
    <row r="34" spans="1:16" ht="15.75" hidden="1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>
        <f>SUM(D34:H34)</f>
        <v>0</v>
      </c>
      <c r="J34" s="39">
        <f>SUM(B34,C34,I34)/1</f>
        <v>0</v>
      </c>
      <c r="K34" s="39"/>
      <c r="L34" s="2"/>
      <c r="M34" s="24" t="str">
        <f t="shared" si="4"/>
        <v>F9</v>
      </c>
      <c r="N34" s="25" t="str">
        <f t="shared" si="5"/>
        <v>FAIL</v>
      </c>
      <c r="O34" s="2"/>
    </row>
    <row r="35" spans="1:16" ht="15.75" thickBot="1" x14ac:dyDescent="0.25">
      <c r="A35" s="51" t="s">
        <v>30</v>
      </c>
      <c r="B35" s="44"/>
      <c r="C35" s="44"/>
      <c r="D35" s="52">
        <v>8.1999999999999993</v>
      </c>
      <c r="E35" s="52">
        <v>4</v>
      </c>
      <c r="F35" s="53">
        <v>9.3333333330000006</v>
      </c>
      <c r="G35" s="52">
        <v>4</v>
      </c>
      <c r="H35" s="48">
        <v>39</v>
      </c>
      <c r="I35" s="39">
        <f>SUM(D35:H35)</f>
        <v>64.533333333000002</v>
      </c>
      <c r="J35" s="39">
        <f>SUM(B35,C35,I35)/1</f>
        <v>64.533333333000002</v>
      </c>
      <c r="K35" s="39">
        <v>42.6</v>
      </c>
      <c r="L35" s="2">
        <v>85.3</v>
      </c>
      <c r="M35" s="24" t="str">
        <f t="shared" si="4"/>
        <v>C4</v>
      </c>
      <c r="N35" s="25" t="str">
        <f t="shared" si="5"/>
        <v>CREDIT</v>
      </c>
      <c r="O35" s="2"/>
    </row>
    <row r="36" spans="1:16" ht="15.75" hidden="1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>
        <f>SUM(D36:H36)</f>
        <v>0</v>
      </c>
      <c r="J36" s="39">
        <f>SUM(B36,C36,I36)/1</f>
        <v>0</v>
      </c>
      <c r="K36" s="39"/>
      <c r="L36" s="2"/>
      <c r="M36" s="24" t="str">
        <f t="shared" si="4"/>
        <v>F9</v>
      </c>
      <c r="N36" s="25" t="str">
        <f t="shared" si="5"/>
        <v>FAIL</v>
      </c>
      <c r="O36" s="2"/>
    </row>
    <row r="37" spans="1:16" ht="15.75" thickBot="1" x14ac:dyDescent="0.25">
      <c r="A37" s="51" t="s">
        <v>32</v>
      </c>
      <c r="B37" s="44"/>
      <c r="C37" s="44"/>
      <c r="D37" s="52">
        <v>10</v>
      </c>
      <c r="E37" s="52">
        <v>4.3</v>
      </c>
      <c r="F37" s="53">
        <v>7.8333333329999997</v>
      </c>
      <c r="G37" s="52">
        <v>5</v>
      </c>
      <c r="H37" s="45">
        <v>47</v>
      </c>
      <c r="I37" s="39">
        <f>SUM(D37:H37)</f>
        <v>74.133333332999996</v>
      </c>
      <c r="J37" s="39">
        <f>SUM(B37,C37,I37)/1</f>
        <v>74.133333332999996</v>
      </c>
      <c r="K37" s="39">
        <v>40.299999999999997</v>
      </c>
      <c r="L37" s="2">
        <v>74.8</v>
      </c>
      <c r="M37" s="24" t="str">
        <f t="shared" si="4"/>
        <v>B2</v>
      </c>
      <c r="N37" s="25" t="str">
        <f t="shared" si="5"/>
        <v>VERY GOOD</v>
      </c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568.968253968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>
        <v>4</v>
      </c>
    </row>
    <row r="41" spans="1:16" ht="15.75" thickBot="1" x14ac:dyDescent="0.25">
      <c r="A41" s="17" t="s">
        <v>48</v>
      </c>
      <c r="B41" s="6"/>
      <c r="C41" s="6"/>
      <c r="D41" s="6">
        <f>SUM(J15:J37)/9</f>
        <v>63.218694885333335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>
        <v>4</v>
      </c>
    </row>
    <row r="42" spans="1:16" ht="15.75" thickBot="1" x14ac:dyDescent="0.25">
      <c r="A42" s="11"/>
      <c r="K42" s="58" t="s">
        <v>55</v>
      </c>
      <c r="L42" s="58"/>
      <c r="M42" s="58"/>
      <c r="N42" s="58"/>
      <c r="O42" s="20">
        <v>4</v>
      </c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>
        <v>4</v>
      </c>
    </row>
    <row r="44" spans="1:16" ht="15.75" thickBot="1" x14ac:dyDescent="0.25">
      <c r="A44" s="11"/>
      <c r="K44" s="58" t="s">
        <v>37</v>
      </c>
      <c r="L44" s="58"/>
      <c r="M44" s="58"/>
      <c r="N44" s="58"/>
      <c r="O44" s="20">
        <v>4</v>
      </c>
    </row>
    <row r="45" spans="1:16" ht="15.75" thickBot="1" x14ac:dyDescent="0.25">
      <c r="A45" s="17" t="s">
        <v>49</v>
      </c>
      <c r="B45" s="6"/>
      <c r="C45" s="6"/>
      <c r="D45" s="6">
        <f>SUM(J15*3,J16*4,J17*2,J18*4,J19*3,J20*4,J21*2,J22*3,J23*5,J24*4,J25*3,J26*4, J27*4,J28*5,J29*3,J30*3,J31*3,J32*3,J33*4,J34*3,J35*2,J37*3)/620</f>
        <v>2.7924231950854841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>
        <v>4</v>
      </c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>
        <v>3</v>
      </c>
    </row>
    <row r="47" spans="1:16" ht="15.75" thickBot="1" x14ac:dyDescent="0.25">
      <c r="A47" s="15" t="s">
        <v>64</v>
      </c>
      <c r="B47" s="6"/>
      <c r="C47" s="6"/>
      <c r="D47" s="6">
        <v>122</v>
      </c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>
        <v>4</v>
      </c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>
        <v>3</v>
      </c>
      <c r="P48" s="47"/>
    </row>
    <row r="49" spans="1:16" ht="15.75" thickBot="1" x14ac:dyDescent="0.25">
      <c r="A49" s="16" t="s">
        <v>54</v>
      </c>
      <c r="B49" s="6"/>
      <c r="C49" s="6"/>
      <c r="D49" s="6">
        <v>110</v>
      </c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>
        <v>3</v>
      </c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>
        <v>3</v>
      </c>
      <c r="P50" s="47"/>
    </row>
    <row r="51" spans="1:16" ht="15.75" thickBot="1" x14ac:dyDescent="0.25">
      <c r="A51" s="17" t="s">
        <v>52</v>
      </c>
      <c r="B51" s="6"/>
      <c r="C51" s="56" t="s">
        <v>108</v>
      </c>
      <c r="D51" s="56"/>
      <c r="E51" s="56"/>
      <c r="F51" s="56"/>
      <c r="G51" s="56"/>
      <c r="H51" s="56"/>
      <c r="I51" s="6"/>
      <c r="J51" s="7"/>
      <c r="K51" s="57" t="s">
        <v>44</v>
      </c>
      <c r="L51" s="58"/>
      <c r="M51" s="58"/>
      <c r="N51" s="58"/>
      <c r="O51" s="20">
        <v>3</v>
      </c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43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TRIAL","TO REPEAT SS2"))</f>
        <v>PROMOTED TO SS3</v>
      </c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 t="s">
        <v>107</v>
      </c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O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EC67-452A-134B-A897-05ADDBE5139C}">
  <dimension ref="A6:B24"/>
  <sheetViews>
    <sheetView zoomScaleNormal="60" zoomScaleSheetLayoutView="100" workbookViewId="0"/>
  </sheetViews>
  <sheetFormatPr defaultRowHeight="15" x14ac:dyDescent="0.2"/>
  <sheetData>
    <row r="6" spans="1:2" x14ac:dyDescent="0.2">
      <c r="A6">
        <v>2.15</v>
      </c>
      <c r="B6">
        <f>RANK(A6,$A$6:$A$24,0)</f>
        <v>10</v>
      </c>
    </row>
    <row r="7" spans="1:2" x14ac:dyDescent="0.2">
      <c r="A7">
        <v>1.74</v>
      </c>
      <c r="B7">
        <f>RANK(A7,$A$6:$A$24,0)</f>
        <v>15</v>
      </c>
    </row>
    <row r="8" spans="1:2" x14ac:dyDescent="0.2">
      <c r="A8">
        <v>2.58</v>
      </c>
      <c r="B8">
        <f>RANK(A8,$A$6:$A$24,0)</f>
        <v>2</v>
      </c>
    </row>
    <row r="9" spans="1:2" x14ac:dyDescent="0.2">
      <c r="A9">
        <v>2.71</v>
      </c>
      <c r="B9">
        <f>RANK(A9,$A$6:$A$24,0)</f>
        <v>1</v>
      </c>
    </row>
    <row r="10" spans="1:2" x14ac:dyDescent="0.2">
      <c r="A10">
        <v>1.99</v>
      </c>
      <c r="B10">
        <f>RANK(A10,$A$6:$A$24,0)</f>
        <v>14</v>
      </c>
    </row>
    <row r="11" spans="1:2" x14ac:dyDescent="0.2">
      <c r="A11">
        <v>2.0099999999999998</v>
      </c>
      <c r="B11">
        <f>RANK(A11,$A$6:$A$24,0)</f>
        <v>13</v>
      </c>
    </row>
    <row r="12" spans="1:2" x14ac:dyDescent="0.2">
      <c r="A12">
        <v>2.4300000000000002</v>
      </c>
      <c r="B12">
        <f>RANK(A12,$A$6:$A$24,0)</f>
        <v>6</v>
      </c>
    </row>
    <row r="13" spans="1:2" x14ac:dyDescent="0.2">
      <c r="A13">
        <v>2.44</v>
      </c>
      <c r="B13">
        <f>RANK(A13,$A$6:$A$24,0)</f>
        <v>5</v>
      </c>
    </row>
    <row r="14" spans="1:2" x14ac:dyDescent="0.2">
      <c r="A14">
        <v>2.06</v>
      </c>
      <c r="B14">
        <f>RANK(A14,$A$6:$A$24,0)</f>
        <v>11</v>
      </c>
    </row>
    <row r="15" spans="1:2" x14ac:dyDescent="0.2">
      <c r="A15">
        <v>2.4300000000000002</v>
      </c>
      <c r="B15">
        <f>RANK(A15,$A$6:$A$24,0)</f>
        <v>6</v>
      </c>
    </row>
    <row r="16" spans="1:2" x14ac:dyDescent="0.2">
      <c r="A16">
        <v>2.56</v>
      </c>
      <c r="B16">
        <f>RANK(A16,$A$6:$A$24,0)</f>
        <v>3</v>
      </c>
    </row>
    <row r="17" spans="1:2" x14ac:dyDescent="0.2">
      <c r="A17">
        <v>2.04</v>
      </c>
      <c r="B17">
        <f>RANK(A17,$A$6:$A$24,0)</f>
        <v>12</v>
      </c>
    </row>
    <row r="18" spans="1:2" x14ac:dyDescent="0.2">
      <c r="B18" t="e">
        <f>RANK(A18,$A$6:$A$24,0)</f>
        <v>#N/A</v>
      </c>
    </row>
    <row r="19" spans="1:2" x14ac:dyDescent="0.2">
      <c r="A19">
        <v>1.52</v>
      </c>
      <c r="B19">
        <f>RANK(A19,$A$6:$A$24,0)</f>
        <v>17</v>
      </c>
    </row>
    <row r="20" spans="1:2" x14ac:dyDescent="0.2">
      <c r="A20">
        <v>1.7</v>
      </c>
      <c r="B20">
        <f>RANK(A20,$A$6:$A$24,0)</f>
        <v>16</v>
      </c>
    </row>
    <row r="21" spans="1:2" x14ac:dyDescent="0.2">
      <c r="A21">
        <v>2.29</v>
      </c>
      <c r="B21">
        <f>RANK(A21,$A$6:$A$24,0)</f>
        <v>8</v>
      </c>
    </row>
    <row r="22" spans="1:2" x14ac:dyDescent="0.2">
      <c r="A22">
        <v>2.1800000000000002</v>
      </c>
      <c r="B22">
        <f>RANK(A22,$A$6:$A$24,0)</f>
        <v>9</v>
      </c>
    </row>
    <row r="23" spans="1:2" x14ac:dyDescent="0.2">
      <c r="B23" t="e">
        <f>RANK(A23,$A$6:$A$24,0)</f>
        <v>#N/A</v>
      </c>
    </row>
    <row r="24" spans="1:2" x14ac:dyDescent="0.2">
      <c r="A24">
        <v>2.54</v>
      </c>
      <c r="B24">
        <f>RANK(A24,$A$6:$A$24,0)</f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AEA51-76D2-A24F-A89B-73FF2ED8820F}">
  <dimension ref="A1:Z55"/>
  <sheetViews>
    <sheetView topLeftCell="A10" workbookViewId="0">
      <selection activeCell="J34" sqref="J34"/>
    </sheetView>
  </sheetViews>
  <sheetFormatPr defaultRowHeight="15" x14ac:dyDescent="0.2"/>
  <cols>
    <col min="1" max="1" width="27.57421875" customWidth="1"/>
    <col min="2" max="3" width="4.5703125" bestFit="1" customWidth="1"/>
    <col min="4" max="4" width="8.7421875" customWidth="1"/>
    <col min="5" max="5" width="5.6484375" customWidth="1"/>
    <col min="6" max="6" width="11.97265625" bestFit="1" customWidth="1"/>
    <col min="7" max="13" width="4.5703125" customWidth="1"/>
    <col min="14" max="14" width="9.68359375" customWidth="1"/>
    <col min="15" max="15" width="6.3203125" customWidth="1"/>
  </cols>
  <sheetData>
    <row r="1" spans="1:15" hidden="1" x14ac:dyDescent="0.2"/>
    <row r="8" spans="1:15" ht="29.25" x14ac:dyDescent="0.4">
      <c r="A8" s="64" t="s">
        <v>60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</row>
    <row r="9" spans="1:15" ht="21.75" thickBot="1" x14ac:dyDescent="0.35">
      <c r="A9" s="65" t="s">
        <v>59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15.75" thickBot="1" x14ac:dyDescent="0.25">
      <c r="A10" s="63" t="s">
        <v>86</v>
      </c>
      <c r="B10" s="63"/>
      <c r="C10" s="63"/>
      <c r="D10" s="63"/>
      <c r="E10" s="63"/>
      <c r="F10" s="63"/>
      <c r="G10" s="63"/>
      <c r="H10" s="63"/>
      <c r="I10" s="63"/>
      <c r="J10" s="63" t="s">
        <v>85</v>
      </c>
      <c r="K10" s="63"/>
      <c r="L10" s="63"/>
      <c r="M10" s="63"/>
      <c r="N10" s="63"/>
      <c r="O10" s="63"/>
    </row>
    <row r="11" spans="1:15" ht="15.75" thickBot="1" x14ac:dyDescent="0.25">
      <c r="A11" s="67" t="s">
        <v>89</v>
      </c>
      <c r="B11" s="67"/>
      <c r="C11" s="67"/>
      <c r="D11" s="67"/>
      <c r="E11" s="67"/>
      <c r="F11" s="67"/>
      <c r="G11" s="67"/>
      <c r="H11" s="67"/>
      <c r="I11" s="67"/>
      <c r="J11" s="67" t="s">
        <v>87</v>
      </c>
      <c r="K11" s="67"/>
      <c r="L11" s="67"/>
      <c r="M11" s="67"/>
      <c r="N11" s="67"/>
      <c r="O11" s="67"/>
    </row>
    <row r="12" spans="1:15" ht="15.75" thickBot="1" x14ac:dyDescent="0.25">
      <c r="A12" s="35"/>
      <c r="B12" s="35"/>
      <c r="C12" s="35"/>
      <c r="D12" s="60" t="s">
        <v>61</v>
      </c>
      <c r="E12" s="61"/>
      <c r="F12" s="61"/>
      <c r="G12" s="61"/>
      <c r="H12" s="61"/>
      <c r="I12" s="62"/>
      <c r="J12" s="35"/>
      <c r="K12" s="35"/>
      <c r="L12" s="35"/>
      <c r="M12" s="35"/>
      <c r="N12" s="35"/>
      <c r="O12" s="35"/>
    </row>
    <row r="13" spans="1:15" ht="81.75" x14ac:dyDescent="0.2">
      <c r="A13" s="34" t="s">
        <v>0</v>
      </c>
      <c r="B13" s="36" t="s">
        <v>56</v>
      </c>
      <c r="C13" s="36" t="s">
        <v>58</v>
      </c>
      <c r="D13" s="27" t="s">
        <v>57</v>
      </c>
      <c r="E13" s="27" t="s">
        <v>1</v>
      </c>
      <c r="F13" s="27" t="s">
        <v>2</v>
      </c>
      <c r="G13" s="27" t="s">
        <v>3</v>
      </c>
      <c r="H13" s="27" t="s">
        <v>4</v>
      </c>
      <c r="I13" s="28" t="s">
        <v>5</v>
      </c>
      <c r="J13" s="36" t="s">
        <v>62</v>
      </c>
      <c r="K13" s="36" t="s">
        <v>6</v>
      </c>
      <c r="L13" s="36" t="s">
        <v>7</v>
      </c>
      <c r="M13" s="36" t="s">
        <v>51</v>
      </c>
      <c r="N13" s="37" t="s">
        <v>9</v>
      </c>
      <c r="O13" s="37" t="s">
        <v>10</v>
      </c>
    </row>
    <row r="14" spans="1:15" s="32" customFormat="1" ht="11.25" customHeight="1" thickBot="1" x14ac:dyDescent="0.25">
      <c r="A14" s="26"/>
      <c r="B14" s="33">
        <v>100</v>
      </c>
      <c r="C14" s="33">
        <v>100</v>
      </c>
      <c r="D14" s="33">
        <v>10</v>
      </c>
      <c r="E14" s="33">
        <v>5</v>
      </c>
      <c r="F14" s="33">
        <v>10</v>
      </c>
      <c r="G14" s="33">
        <v>5</v>
      </c>
      <c r="H14" s="33">
        <v>70</v>
      </c>
      <c r="I14" s="33">
        <v>100</v>
      </c>
      <c r="J14" s="33">
        <v>100</v>
      </c>
      <c r="K14" s="29"/>
      <c r="L14" s="29"/>
      <c r="M14" s="29"/>
      <c r="N14" s="30"/>
      <c r="O14" s="30"/>
    </row>
    <row r="15" spans="1:15" ht="15.75" thickBot="1" x14ac:dyDescent="0.25">
      <c r="A15" s="21" t="s">
        <v>8</v>
      </c>
      <c r="B15" s="44"/>
      <c r="C15" s="44"/>
      <c r="D15" s="44"/>
      <c r="E15" s="44"/>
      <c r="F15" s="44"/>
      <c r="G15" s="45"/>
      <c r="H15" s="45"/>
      <c r="I15" s="39"/>
      <c r="J15" s="39"/>
      <c r="K15" s="39"/>
      <c r="L15" s="24"/>
      <c r="M15" s="24"/>
      <c r="N15" s="25"/>
      <c r="O15" s="25"/>
    </row>
    <row r="16" spans="1:15" ht="15.75" thickBot="1" x14ac:dyDescent="0.25">
      <c r="A16" s="51" t="s">
        <v>11</v>
      </c>
      <c r="B16" s="44"/>
      <c r="C16" s="44"/>
      <c r="D16" s="48"/>
      <c r="E16" s="48"/>
      <c r="F16" s="48"/>
      <c r="G16" s="48"/>
      <c r="H16" s="48"/>
      <c r="I16" s="39">
        <f t="shared" ref="I16:I35" si="0">SUM(D16:H16)</f>
        <v>0</v>
      </c>
      <c r="J16" s="39">
        <f t="shared" ref="J16:J35" si="1">SUM(B16,C16,I16)/1</f>
        <v>0</v>
      </c>
      <c r="K16" s="39"/>
      <c r="L16" s="2"/>
      <c r="M16" s="24" t="str">
        <f t="shared" ref="M16:M35" si="2">IF(J16&gt;=89.5,"A1",IF(J16&gt;=79.5,"B2",IF(J16&gt;=69.5,"B3",IF(J16&gt;=59.5,"C4",IF(J16&gt;=54.5,"C5",IF(J16&gt;=49.5,"C6",IF(J16&gt;=44.5,"D7",IF(J16&gt;=39.5,"E8","F"))))))))</f>
        <v>F</v>
      </c>
      <c r="N16" s="25" t="str">
        <f t="shared" ref="N16:N35" si="3">IF(J16&gt;=89.5,"EXCELLENT",IF(J16&gt;=79.5,"VERY GOOD",IF(J16&gt;=69.5,"GOOD",IF(J16&gt;=59.5,"CREDIT",IF(J16&gt;=54.5,"CREDIT",IF(J16&gt;=49.5,"CREDIT",IF(J16&gt;=44.5,"PASS",IF(J16&gt;=39.5,"PASS","FAIL"))))))))</f>
        <v>FAIL</v>
      </c>
      <c r="O16" s="2"/>
    </row>
    <row r="17" spans="1:26" ht="15.75" thickBot="1" x14ac:dyDescent="0.25">
      <c r="A17" s="51" t="s">
        <v>12</v>
      </c>
      <c r="B17" s="44"/>
      <c r="C17" s="44"/>
      <c r="D17" s="48"/>
      <c r="E17" s="48"/>
      <c r="F17" s="48"/>
      <c r="G17" s="48"/>
      <c r="H17" s="45"/>
      <c r="I17" s="39">
        <f t="shared" si="0"/>
        <v>0</v>
      </c>
      <c r="J17" s="39">
        <f t="shared" si="1"/>
        <v>0</v>
      </c>
      <c r="K17" s="39"/>
      <c r="L17" s="2"/>
      <c r="M17" s="24" t="str">
        <f t="shared" si="2"/>
        <v>F</v>
      </c>
      <c r="N17" s="25" t="str">
        <f t="shared" si="3"/>
        <v>FAIL</v>
      </c>
      <c r="O17" s="2"/>
      <c r="Z17" t="str">
        <f>IF(I15&gt;=89.5,"EXCELLENT",IF(I15&gt;=79.5,"VERY GOOD",IF(I15&gt;=69.5,"GOOD",IF(I15&gt;=59.5,"CREDIT",IF(I15&gt;=54.5,"CREDIT",IF(I15&gt;=49.5,"CREDIT",IF(I15&gt;=44.5,"PASS",IF(I15&gt;=39.5,"PASS","FAIL"))))))))</f>
        <v>FAIL</v>
      </c>
    </row>
    <row r="18" spans="1:26" ht="15.75" thickBot="1" x14ac:dyDescent="0.25">
      <c r="A18" s="51" t="s">
        <v>13</v>
      </c>
      <c r="B18" s="44"/>
      <c r="C18" s="44"/>
      <c r="D18" s="44"/>
      <c r="E18" s="44"/>
      <c r="F18" s="44"/>
      <c r="G18" s="45"/>
      <c r="H18" s="45"/>
      <c r="I18" s="39">
        <f t="shared" si="0"/>
        <v>0</v>
      </c>
      <c r="J18" s="39">
        <f t="shared" si="1"/>
        <v>0</v>
      </c>
      <c r="K18" s="39"/>
      <c r="L18" s="2"/>
      <c r="M18" s="24" t="str">
        <f t="shared" si="2"/>
        <v>F</v>
      </c>
      <c r="N18" s="25" t="str">
        <f t="shared" si="3"/>
        <v>FAIL</v>
      </c>
      <c r="O18" s="2"/>
    </row>
    <row r="19" spans="1:26" ht="15.75" thickBot="1" x14ac:dyDescent="0.25">
      <c r="A19" s="51" t="s">
        <v>14</v>
      </c>
      <c r="B19" s="44"/>
      <c r="C19" s="44"/>
      <c r="D19" s="44"/>
      <c r="E19" s="44"/>
      <c r="F19" s="44"/>
      <c r="G19" s="45"/>
      <c r="H19" s="45"/>
      <c r="I19" s="39"/>
      <c r="J19" s="39"/>
      <c r="K19" s="39"/>
      <c r="L19" s="2"/>
      <c r="M19" s="24"/>
      <c r="N19" s="25"/>
      <c r="O19" s="2"/>
    </row>
    <row r="20" spans="1:26" ht="15.75" thickBot="1" x14ac:dyDescent="0.25">
      <c r="A20" s="51" t="s">
        <v>15</v>
      </c>
      <c r="B20" s="44"/>
      <c r="C20" s="44"/>
      <c r="D20" s="44"/>
      <c r="E20" s="44"/>
      <c r="F20" s="44"/>
      <c r="G20" s="45"/>
      <c r="H20" s="45"/>
      <c r="I20" s="39"/>
      <c r="J20" s="39"/>
      <c r="K20" s="39"/>
      <c r="L20" s="2"/>
      <c r="M20" s="24"/>
      <c r="N20" s="25"/>
      <c r="O20" s="2"/>
    </row>
    <row r="21" spans="1:26" ht="15.75" thickBot="1" x14ac:dyDescent="0.25">
      <c r="A21" s="51" t="s">
        <v>16</v>
      </c>
      <c r="B21" s="44"/>
      <c r="C21" s="44"/>
      <c r="D21" s="48"/>
      <c r="E21" s="48"/>
      <c r="F21" s="48"/>
      <c r="G21" s="48"/>
      <c r="H21" s="48"/>
      <c r="I21" s="39">
        <f t="shared" si="0"/>
        <v>0</v>
      </c>
      <c r="J21" s="39">
        <f t="shared" si="1"/>
        <v>0</v>
      </c>
      <c r="K21" s="39"/>
      <c r="L21" s="2"/>
      <c r="M21" s="24" t="str">
        <f t="shared" si="2"/>
        <v>F</v>
      </c>
      <c r="N21" s="25" t="str">
        <f t="shared" si="3"/>
        <v>FAIL</v>
      </c>
      <c r="O21" s="2"/>
    </row>
    <row r="22" spans="1:26" ht="15.75" thickBot="1" x14ac:dyDescent="0.25">
      <c r="A22" s="51" t="s">
        <v>17</v>
      </c>
      <c r="B22" s="44"/>
      <c r="C22" s="44"/>
      <c r="D22" s="48"/>
      <c r="E22" s="48"/>
      <c r="F22" s="48"/>
      <c r="G22" s="48"/>
      <c r="H22" s="48"/>
      <c r="I22" s="39">
        <f t="shared" si="0"/>
        <v>0</v>
      </c>
      <c r="J22" s="39">
        <f t="shared" si="1"/>
        <v>0</v>
      </c>
      <c r="K22" s="39"/>
      <c r="L22" s="2"/>
      <c r="M22" s="24" t="str">
        <f t="shared" si="2"/>
        <v>F</v>
      </c>
      <c r="N22" s="25" t="str">
        <f t="shared" si="3"/>
        <v>FAIL</v>
      </c>
      <c r="O22" s="2"/>
    </row>
    <row r="23" spans="1:26" ht="15.75" thickBot="1" x14ac:dyDescent="0.25">
      <c r="A23" s="51" t="s">
        <v>18</v>
      </c>
      <c r="B23" s="44"/>
      <c r="C23" s="44"/>
      <c r="D23" s="48"/>
      <c r="E23" s="48"/>
      <c r="F23" s="48"/>
      <c r="G23" s="48"/>
      <c r="H23" s="45"/>
      <c r="I23" s="39">
        <f t="shared" si="0"/>
        <v>0</v>
      </c>
      <c r="J23" s="39">
        <f t="shared" si="1"/>
        <v>0</v>
      </c>
      <c r="K23" s="39"/>
      <c r="L23" s="2"/>
      <c r="M23" s="24" t="str">
        <f t="shared" si="2"/>
        <v>F</v>
      </c>
      <c r="N23" s="25" t="str">
        <f t="shared" si="3"/>
        <v>FAIL</v>
      </c>
      <c r="O23" s="2"/>
    </row>
    <row r="24" spans="1:26" ht="15.75" thickBot="1" x14ac:dyDescent="0.25">
      <c r="A24" s="51" t="s">
        <v>19</v>
      </c>
      <c r="B24" s="44"/>
      <c r="C24" s="44"/>
      <c r="D24" s="44"/>
      <c r="E24" s="44"/>
      <c r="F24" s="44"/>
      <c r="G24" s="45"/>
      <c r="H24" s="45"/>
      <c r="I24" s="39"/>
      <c r="J24" s="39"/>
      <c r="K24" s="39"/>
      <c r="L24" s="2"/>
      <c r="M24" s="24"/>
      <c r="N24" s="25"/>
      <c r="O24" s="2"/>
    </row>
    <row r="25" spans="1:26" ht="15.75" thickBot="1" x14ac:dyDescent="0.25">
      <c r="A25" s="51" t="s">
        <v>20</v>
      </c>
      <c r="B25" s="44"/>
      <c r="C25" s="44"/>
      <c r="D25" s="44"/>
      <c r="E25" s="44"/>
      <c r="F25" s="44"/>
      <c r="G25" s="45"/>
      <c r="H25" s="45"/>
      <c r="I25" s="39"/>
      <c r="J25" s="39"/>
      <c r="K25" s="39"/>
      <c r="L25" s="2"/>
      <c r="M25" s="24"/>
      <c r="N25" s="25"/>
      <c r="O25" s="2"/>
    </row>
    <row r="26" spans="1:26" ht="15.75" hidden="1" thickBot="1" x14ac:dyDescent="0.25">
      <c r="A26" s="51" t="s">
        <v>21</v>
      </c>
      <c r="B26" s="44"/>
      <c r="C26" s="44"/>
      <c r="D26" s="44"/>
      <c r="E26" s="44"/>
      <c r="F26" s="44"/>
      <c r="G26" s="45"/>
      <c r="H26" s="45"/>
      <c r="I26" s="39">
        <f t="shared" si="0"/>
        <v>0</v>
      </c>
      <c r="J26" s="39">
        <f t="shared" si="1"/>
        <v>0</v>
      </c>
      <c r="K26" s="39"/>
      <c r="L26" s="2"/>
      <c r="M26" s="24" t="str">
        <f t="shared" si="2"/>
        <v>F</v>
      </c>
      <c r="N26" s="25" t="str">
        <f t="shared" si="3"/>
        <v>FAIL</v>
      </c>
      <c r="O26" s="2"/>
    </row>
    <row r="27" spans="1:26" ht="15.75" thickBot="1" x14ac:dyDescent="0.25">
      <c r="A27" s="51" t="s">
        <v>22</v>
      </c>
      <c r="B27" s="44"/>
      <c r="C27" s="44"/>
      <c r="D27" s="44"/>
      <c r="E27" s="44"/>
      <c r="F27" s="44"/>
      <c r="G27" s="45"/>
      <c r="H27" s="45"/>
      <c r="I27" s="39"/>
      <c r="J27" s="39">
        <f t="shared" si="1"/>
        <v>0</v>
      </c>
      <c r="K27" s="39"/>
      <c r="L27" s="2"/>
      <c r="M27" s="24" t="str">
        <f t="shared" si="2"/>
        <v>F</v>
      </c>
      <c r="N27" s="25" t="str">
        <f t="shared" si="3"/>
        <v>FAIL</v>
      </c>
      <c r="O27" s="2"/>
    </row>
    <row r="28" spans="1:26" ht="15.75" thickBot="1" x14ac:dyDescent="0.25">
      <c r="A28" s="51" t="s">
        <v>23</v>
      </c>
      <c r="B28" s="44"/>
      <c r="C28" s="44"/>
      <c r="D28" s="44"/>
      <c r="E28" s="44"/>
      <c r="F28" s="44"/>
      <c r="G28" s="45"/>
      <c r="H28" s="45"/>
      <c r="I28" s="39">
        <f t="shared" si="0"/>
        <v>0</v>
      </c>
      <c r="J28" s="39">
        <f t="shared" si="1"/>
        <v>0</v>
      </c>
      <c r="K28" s="39"/>
      <c r="L28" s="2"/>
      <c r="M28" s="24" t="str">
        <f t="shared" si="2"/>
        <v>F</v>
      </c>
      <c r="N28" s="25" t="str">
        <f t="shared" si="3"/>
        <v>FAIL</v>
      </c>
      <c r="O28" s="2"/>
    </row>
    <row r="29" spans="1:26" ht="15.75" thickBot="1" x14ac:dyDescent="0.25">
      <c r="A29" s="51" t="s">
        <v>24</v>
      </c>
      <c r="B29" s="44"/>
      <c r="C29" s="44"/>
      <c r="D29" s="44"/>
      <c r="E29" s="44"/>
      <c r="F29" s="44"/>
      <c r="G29" s="45"/>
      <c r="H29" s="45"/>
      <c r="I29" s="39"/>
      <c r="J29" s="39"/>
      <c r="K29" s="39"/>
      <c r="L29" s="2"/>
      <c r="M29" s="24"/>
      <c r="N29" s="25"/>
      <c r="O29" s="2"/>
    </row>
    <row r="30" spans="1:26" ht="15.75" thickBot="1" x14ac:dyDescent="0.25">
      <c r="A30" s="51" t="s">
        <v>25</v>
      </c>
      <c r="B30" s="44"/>
      <c r="C30" s="44"/>
      <c r="D30" s="44"/>
      <c r="E30" s="44"/>
      <c r="F30" s="44"/>
      <c r="G30" s="45"/>
      <c r="H30" s="45"/>
      <c r="I30" s="39"/>
      <c r="J30" s="39"/>
      <c r="K30" s="39"/>
      <c r="L30" s="2"/>
      <c r="M30" s="24"/>
      <c r="N30" s="25"/>
      <c r="O30" s="2"/>
    </row>
    <row r="31" spans="1:26" ht="15.75" hidden="1" thickBot="1" x14ac:dyDescent="0.25">
      <c r="A31" s="51" t="s">
        <v>26</v>
      </c>
      <c r="B31" s="44"/>
      <c r="C31" s="44"/>
      <c r="D31" s="44"/>
      <c r="E31" s="44"/>
      <c r="F31" s="44"/>
      <c r="G31" s="45"/>
      <c r="H31" s="45"/>
      <c r="I31" s="39">
        <f t="shared" si="0"/>
        <v>0</v>
      </c>
      <c r="J31" s="39">
        <f t="shared" si="1"/>
        <v>0</v>
      </c>
      <c r="K31" s="39"/>
      <c r="L31" s="2"/>
      <c r="M31" s="24" t="str">
        <f t="shared" si="2"/>
        <v>F</v>
      </c>
      <c r="N31" s="25" t="str">
        <f t="shared" si="3"/>
        <v>FAIL</v>
      </c>
      <c r="O31" s="2"/>
    </row>
    <row r="32" spans="1:26" ht="15.75" thickBot="1" x14ac:dyDescent="0.25">
      <c r="A32" s="51" t="s">
        <v>27</v>
      </c>
      <c r="B32" s="44"/>
      <c r="C32" s="44"/>
      <c r="D32" s="44"/>
      <c r="E32" s="44"/>
      <c r="F32" s="44"/>
      <c r="G32" s="45"/>
      <c r="H32" s="45"/>
      <c r="I32" s="39"/>
      <c r="J32" s="39"/>
      <c r="K32" s="39"/>
      <c r="L32" s="2"/>
      <c r="M32" s="24"/>
      <c r="N32" s="25"/>
      <c r="O32" s="2"/>
    </row>
    <row r="33" spans="1:16" ht="15.75" thickBot="1" x14ac:dyDescent="0.25">
      <c r="A33" s="51" t="s">
        <v>28</v>
      </c>
      <c r="B33" s="44"/>
      <c r="C33" s="44"/>
      <c r="D33" s="48"/>
      <c r="E33" s="48"/>
      <c r="F33" s="48"/>
      <c r="G33" s="48"/>
      <c r="H33" s="45"/>
      <c r="I33" s="39">
        <f t="shared" si="0"/>
        <v>0</v>
      </c>
      <c r="J33" s="39">
        <f t="shared" si="1"/>
        <v>0</v>
      </c>
      <c r="K33" s="39"/>
      <c r="L33" s="2"/>
      <c r="M33" s="24" t="str">
        <f t="shared" si="2"/>
        <v>F</v>
      </c>
      <c r="N33" s="25" t="str">
        <f t="shared" si="3"/>
        <v>FAIL</v>
      </c>
      <c r="O33" s="2"/>
    </row>
    <row r="34" spans="1:16" ht="15.75" thickBot="1" x14ac:dyDescent="0.25">
      <c r="A34" s="51" t="s">
        <v>29</v>
      </c>
      <c r="B34" s="44"/>
      <c r="C34" s="44"/>
      <c r="D34" s="44"/>
      <c r="E34" s="44"/>
      <c r="F34" s="44"/>
      <c r="G34" s="45"/>
      <c r="H34" s="45"/>
      <c r="I34" s="39"/>
      <c r="J34" s="39"/>
      <c r="K34" s="39"/>
      <c r="L34" s="2"/>
      <c r="M34" s="24" t="str">
        <f t="shared" si="2"/>
        <v>F</v>
      </c>
      <c r="N34" s="25" t="str">
        <f>IF(J34&gt;=89.5,"EXCELLENT",IF(J34&gt;=79.5,"VERY GOOD",IF(J34&gt;=69.5,"GOOD",IF(J34&gt;=59.5,"CREDIT",IF(J34&gt;=54.5,"CREDIT",IF(J34&gt;=49.5,"CREDIT",IF(J34&gt;=44.5,"PASS",IF(J34&gt;=39.5,"PASS","FAIL"))))))))</f>
        <v>FAIL</v>
      </c>
      <c r="O34" s="2"/>
    </row>
    <row r="35" spans="1:16" ht="15.75" thickBot="1" x14ac:dyDescent="0.25">
      <c r="A35" s="51" t="s">
        <v>30</v>
      </c>
      <c r="B35" s="44"/>
      <c r="C35" s="44"/>
      <c r="D35" s="48"/>
      <c r="E35" s="48"/>
      <c r="F35" s="48"/>
      <c r="G35" s="48"/>
      <c r="H35" s="48"/>
      <c r="I35" s="39">
        <f t="shared" si="0"/>
        <v>0</v>
      </c>
      <c r="J35" s="39">
        <f t="shared" si="1"/>
        <v>0</v>
      </c>
      <c r="K35" s="39"/>
      <c r="L35" s="2"/>
      <c r="M35" s="24" t="str">
        <f t="shared" si="2"/>
        <v>F</v>
      </c>
      <c r="N35" s="25" t="str">
        <f t="shared" si="3"/>
        <v>FAIL</v>
      </c>
      <c r="O35" s="2"/>
    </row>
    <row r="36" spans="1:16" ht="15.75" thickBot="1" x14ac:dyDescent="0.25">
      <c r="A36" s="51" t="s">
        <v>31</v>
      </c>
      <c r="B36" s="44"/>
      <c r="C36" s="44"/>
      <c r="D36" s="44"/>
      <c r="E36" s="44"/>
      <c r="F36" s="44"/>
      <c r="G36" s="45"/>
      <c r="H36" s="45"/>
      <c r="I36" s="39"/>
      <c r="J36" s="39"/>
      <c r="K36" s="39"/>
      <c r="L36" s="2"/>
      <c r="M36" s="24"/>
      <c r="N36" s="25"/>
      <c r="O36" s="2"/>
    </row>
    <row r="37" spans="1:16" ht="15.75" thickBot="1" x14ac:dyDescent="0.25">
      <c r="A37" s="51" t="s">
        <v>32</v>
      </c>
      <c r="B37" s="44"/>
      <c r="C37" s="44"/>
      <c r="D37" s="44"/>
      <c r="E37" s="44"/>
      <c r="F37" s="44"/>
      <c r="G37" s="45"/>
      <c r="H37" s="45"/>
      <c r="I37" s="39"/>
      <c r="J37" s="39"/>
      <c r="K37" s="39"/>
      <c r="L37" s="2"/>
      <c r="M37" s="24"/>
      <c r="N37" s="25"/>
      <c r="O37" s="2"/>
    </row>
    <row r="38" spans="1:16" ht="15.75" thickBot="1" x14ac:dyDescent="0.25">
      <c r="A38" s="14"/>
    </row>
    <row r="39" spans="1:16" ht="15.75" thickBot="1" x14ac:dyDescent="0.25">
      <c r="A39" s="17" t="s">
        <v>63</v>
      </c>
      <c r="B39" s="6"/>
      <c r="C39" s="6"/>
      <c r="D39" s="40">
        <f>SUM(J15:J37)</f>
        <v>0</v>
      </c>
      <c r="E39" s="6"/>
      <c r="F39" s="6"/>
      <c r="G39" s="6"/>
      <c r="H39" s="6"/>
      <c r="I39" s="6"/>
      <c r="J39" s="7"/>
      <c r="K39" s="63" t="s">
        <v>33</v>
      </c>
      <c r="L39" s="63"/>
      <c r="M39" s="63"/>
      <c r="N39" s="63"/>
      <c r="O39" s="50" t="s">
        <v>53</v>
      </c>
      <c r="P39" s="46"/>
    </row>
    <row r="40" spans="1:16" ht="15.75" thickBot="1" x14ac:dyDescent="0.25">
      <c r="A40" s="11"/>
      <c r="K40" s="58" t="s">
        <v>34</v>
      </c>
      <c r="L40" s="58"/>
      <c r="M40" s="58"/>
      <c r="N40" s="58"/>
      <c r="O40" s="20"/>
    </row>
    <row r="41" spans="1:16" ht="15.75" thickBot="1" x14ac:dyDescent="0.25">
      <c r="A41" s="17" t="s">
        <v>48</v>
      </c>
      <c r="B41" s="6"/>
      <c r="C41" s="6"/>
      <c r="D41" s="6">
        <f>SUM(J15:J37)/9</f>
        <v>0</v>
      </c>
      <c r="E41" s="6"/>
      <c r="F41" s="6"/>
      <c r="G41" s="6"/>
      <c r="H41" s="6"/>
      <c r="I41" s="6"/>
      <c r="J41" s="7"/>
      <c r="K41" s="58" t="s">
        <v>35</v>
      </c>
      <c r="L41" s="58"/>
      <c r="M41" s="58"/>
      <c r="N41" s="58"/>
      <c r="O41" s="20"/>
    </row>
    <row r="42" spans="1:16" ht="15.75" thickBot="1" x14ac:dyDescent="0.25">
      <c r="A42" s="11"/>
      <c r="K42" s="58" t="s">
        <v>55</v>
      </c>
      <c r="L42" s="58"/>
      <c r="M42" s="58"/>
      <c r="N42" s="58"/>
      <c r="O42" s="20"/>
    </row>
    <row r="43" spans="1:16" ht="15.75" thickBot="1" x14ac:dyDescent="0.25">
      <c r="A43" s="17" t="s">
        <v>50</v>
      </c>
      <c r="B43" s="6"/>
      <c r="C43" s="6"/>
      <c r="D43" s="6"/>
      <c r="E43" s="6"/>
      <c r="F43" s="6"/>
      <c r="G43" s="6"/>
      <c r="H43" s="6"/>
      <c r="I43" s="6"/>
      <c r="J43" s="7"/>
      <c r="K43" s="58" t="s">
        <v>36</v>
      </c>
      <c r="L43" s="58"/>
      <c r="M43" s="58"/>
      <c r="N43" s="58"/>
      <c r="O43" s="20"/>
    </row>
    <row r="44" spans="1:16" ht="15.75" thickBot="1" x14ac:dyDescent="0.25">
      <c r="A44" s="11"/>
      <c r="K44" s="58" t="s">
        <v>37</v>
      </c>
      <c r="L44" s="58"/>
      <c r="M44" s="58"/>
      <c r="N44" s="58"/>
      <c r="O44" s="20"/>
    </row>
    <row r="45" spans="1:16" ht="15.75" thickBot="1" x14ac:dyDescent="0.25">
      <c r="A45" s="17" t="s">
        <v>49</v>
      </c>
      <c r="B45" s="6"/>
      <c r="C45" s="6"/>
      <c r="D45" s="6">
        <f>SUM(J15*3,J16*3,J17*2,J18*3,J19*3,J20*4,J21*2,J22*3,J23*4,J24*4,J25*3,J28*5,J29*3,J30*3,J31*3,J32*3,J33*3,J34*3,J35*2,J37*3)/660</f>
        <v>0</v>
      </c>
      <c r="E45" s="6"/>
      <c r="F45" s="6"/>
      <c r="G45" s="6"/>
      <c r="H45" s="6"/>
      <c r="I45" s="6"/>
      <c r="J45" s="7"/>
      <c r="K45" s="58" t="s">
        <v>38</v>
      </c>
      <c r="L45" s="58"/>
      <c r="M45" s="58"/>
      <c r="N45" s="58"/>
      <c r="O45" s="20"/>
    </row>
    <row r="46" spans="1:16" ht="15" customHeight="1" thickBot="1" x14ac:dyDescent="0.25">
      <c r="A46" s="14"/>
      <c r="B46" s="9"/>
      <c r="C46" s="9"/>
      <c r="D46" s="9"/>
      <c r="E46" s="9"/>
      <c r="F46" s="9"/>
      <c r="G46" s="9"/>
      <c r="H46" s="9"/>
      <c r="I46" s="9"/>
      <c r="J46" s="10"/>
      <c r="K46" s="57" t="s">
        <v>39</v>
      </c>
      <c r="L46" s="58"/>
      <c r="M46" s="58"/>
      <c r="N46" s="58"/>
      <c r="O46" s="20"/>
    </row>
    <row r="47" spans="1:16" ht="15.75" thickBot="1" x14ac:dyDescent="0.25">
      <c r="A47" s="15" t="s">
        <v>64</v>
      </c>
      <c r="B47" s="6"/>
      <c r="C47" s="6"/>
      <c r="D47" s="6"/>
      <c r="E47" s="6"/>
      <c r="F47" s="6"/>
      <c r="G47" s="6"/>
      <c r="H47" s="6"/>
      <c r="I47" s="6"/>
      <c r="J47" s="7"/>
      <c r="K47" s="57" t="s">
        <v>40</v>
      </c>
      <c r="L47" s="58"/>
      <c r="M47" s="58"/>
      <c r="N47" s="58"/>
      <c r="O47" s="20"/>
    </row>
    <row r="48" spans="1:16" ht="15.75" thickBot="1" x14ac:dyDescent="0.25">
      <c r="A48" s="11"/>
      <c r="B48" s="47"/>
      <c r="C48" s="47"/>
      <c r="D48" s="47"/>
      <c r="E48" s="47"/>
      <c r="F48" s="47"/>
      <c r="G48" s="47"/>
      <c r="H48" s="47"/>
      <c r="I48" s="47"/>
      <c r="J48" s="12"/>
      <c r="K48" s="57" t="s">
        <v>41</v>
      </c>
      <c r="L48" s="58"/>
      <c r="M48" s="58"/>
      <c r="N48" s="58"/>
      <c r="O48" s="20"/>
      <c r="P48" s="47"/>
    </row>
    <row r="49" spans="1:16" ht="15.75" thickBot="1" x14ac:dyDescent="0.25">
      <c r="A49" s="16" t="s">
        <v>54</v>
      </c>
      <c r="B49" s="6"/>
      <c r="C49" s="6"/>
      <c r="D49" s="6"/>
      <c r="E49" s="6"/>
      <c r="F49" s="6"/>
      <c r="G49" s="6"/>
      <c r="H49" s="6"/>
      <c r="I49" s="6"/>
      <c r="J49" s="7"/>
      <c r="K49" s="57" t="s">
        <v>42</v>
      </c>
      <c r="L49" s="58"/>
      <c r="M49" s="58"/>
      <c r="N49" s="58"/>
      <c r="O49" s="20"/>
    </row>
    <row r="50" spans="1:16" ht="15.75" thickBot="1" x14ac:dyDescent="0.25">
      <c r="A50" s="11"/>
      <c r="B50" s="47"/>
      <c r="C50" s="47"/>
      <c r="D50" s="47"/>
      <c r="E50" s="47"/>
      <c r="F50" s="47"/>
      <c r="G50" s="47"/>
      <c r="H50" s="47"/>
      <c r="I50" s="47"/>
      <c r="J50" s="12"/>
      <c r="K50" s="57" t="s">
        <v>43</v>
      </c>
      <c r="L50" s="58"/>
      <c r="M50" s="58"/>
      <c r="N50" s="58"/>
      <c r="O50" s="20"/>
      <c r="P50" s="47"/>
    </row>
    <row r="51" spans="1:16" ht="15.75" thickBot="1" x14ac:dyDescent="0.25">
      <c r="A51" s="17" t="s">
        <v>52</v>
      </c>
      <c r="B51" s="6"/>
      <c r="C51" s="68"/>
      <c r="D51" s="68"/>
      <c r="E51" s="68"/>
      <c r="F51" s="68"/>
      <c r="G51" s="68"/>
      <c r="H51" s="68"/>
      <c r="I51" s="6"/>
      <c r="J51" s="7"/>
      <c r="K51" s="57" t="s">
        <v>44</v>
      </c>
      <c r="L51" s="58"/>
      <c r="M51" s="58"/>
      <c r="N51" s="58"/>
      <c r="O51" s="20"/>
    </row>
    <row r="52" spans="1:16" ht="15.75" thickBot="1" x14ac:dyDescent="0.25">
      <c r="A52" s="13"/>
      <c r="B52" s="6"/>
      <c r="C52" s="6"/>
      <c r="D52" s="6"/>
      <c r="E52" s="6"/>
      <c r="F52" s="6"/>
      <c r="G52" s="6"/>
      <c r="H52" s="6"/>
      <c r="I52" s="6"/>
      <c r="J52" s="7"/>
      <c r="K52" s="57" t="s">
        <v>5</v>
      </c>
      <c r="L52" s="58"/>
      <c r="M52" s="58"/>
      <c r="N52" s="58"/>
      <c r="O52" s="5">
        <f>SUM(O40:O51)</f>
        <v>0</v>
      </c>
    </row>
    <row r="53" spans="1:16" ht="15.75" thickBot="1" x14ac:dyDescent="0.25">
      <c r="A53" s="18" t="s">
        <v>45</v>
      </c>
      <c r="B53" s="19"/>
      <c r="C53" s="19"/>
      <c r="D53" s="59" t="str">
        <f>IF(D45&gt;=2.5,"PROMOTED TO SS3",IF(D45&gt;=2,"PROMOTED TO SS3 ON TRIAL,BUT MUST ATTEND INTERVENTION CLASS","TO REPEAT SS2"))</f>
        <v>TO REPEAT SS2</v>
      </c>
      <c r="E53" s="59"/>
      <c r="F53" s="59"/>
      <c r="G53" s="59"/>
      <c r="H53" s="59"/>
      <c r="I53" s="59"/>
      <c r="J53" s="59"/>
      <c r="K53" s="19"/>
      <c r="L53" s="19"/>
      <c r="M53" s="19"/>
      <c r="N53" s="19"/>
      <c r="O53" s="19"/>
    </row>
    <row r="54" spans="1:16" ht="15.75" hidden="1" thickBot="1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</row>
    <row r="55" spans="1:16" ht="15.75" thickBot="1" x14ac:dyDescent="0.25">
      <c r="A55" s="8" t="s">
        <v>46</v>
      </c>
      <c r="L55" s="8"/>
      <c r="M55" s="8" t="s">
        <v>47</v>
      </c>
      <c r="N55" s="8"/>
      <c r="O55" s="6"/>
    </row>
  </sheetData>
  <mergeCells count="23">
    <mergeCell ref="A8:O8"/>
    <mergeCell ref="A9:O9"/>
    <mergeCell ref="A10:I10"/>
    <mergeCell ref="J10:O10"/>
    <mergeCell ref="A11:I11"/>
    <mergeCell ref="J11:O11"/>
    <mergeCell ref="K49:N49"/>
    <mergeCell ref="D12:I12"/>
    <mergeCell ref="K39:N39"/>
    <mergeCell ref="K40:N40"/>
    <mergeCell ref="K41:N41"/>
    <mergeCell ref="K42:N42"/>
    <mergeCell ref="K43:N43"/>
    <mergeCell ref="K44:N44"/>
    <mergeCell ref="K45:N45"/>
    <mergeCell ref="K46:N46"/>
    <mergeCell ref="K47:N47"/>
    <mergeCell ref="K48:N48"/>
    <mergeCell ref="K50:N50"/>
    <mergeCell ref="C51:H51"/>
    <mergeCell ref="K51:N51"/>
    <mergeCell ref="K52:N52"/>
    <mergeCell ref="D53:J53"/>
  </mergeCells>
  <printOptions horizontalCentered="1" verticalCentered="1"/>
  <pageMargins left="0.25" right="0.25" top="0.25" bottom="0.25" header="0.3" footer="0.3"/>
  <pageSetup paperSize="5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BABALOLA6</vt:lpstr>
      <vt:lpstr>ATOLOYE7</vt:lpstr>
      <vt:lpstr>OLULEYE8</vt:lpstr>
      <vt:lpstr>AKINDELE9</vt:lpstr>
      <vt:lpstr>OJO10</vt:lpstr>
      <vt:lpstr>SHOTUNDE11</vt:lpstr>
      <vt:lpstr>WILLIAMS12</vt:lpstr>
      <vt:lpstr>POPOOLA13</vt:lpstr>
      <vt:lpstr>AIKABELI14</vt:lpstr>
      <vt:lpstr>ADENIJI15</vt:lpstr>
      <vt:lpstr>AGBOOLA16</vt:lpstr>
      <vt:lpstr>OLUWOLE17</vt:lpstr>
      <vt:lpstr>ATANDA18</vt:lpstr>
      <vt:lpstr>RHODES19</vt:lpstr>
      <vt:lpstr>ADEBAYO20</vt:lpstr>
      <vt:lpstr>SALAU21</vt:lpstr>
      <vt:lpstr>AKINDELE F22</vt:lpstr>
      <vt:lpstr>ALEBIOSU23</vt:lpstr>
      <vt:lpstr>FAKOREDE24</vt:lpstr>
      <vt:lpstr>Sheet1</vt:lpstr>
      <vt:lpstr>AGBOOLA16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Bukky</dc:creator>
  <cp:lastModifiedBy>Bukky</cp:lastModifiedBy>
  <cp:lastPrinted>2021-07-08T21:06:35Z</cp:lastPrinted>
  <dcterms:created xsi:type="dcterms:W3CDTF">2021-01-05T15:49:35Z</dcterms:created>
  <dcterms:modified xsi:type="dcterms:W3CDTF">2021-07-13T11:30:41Z</dcterms:modified>
</cp:coreProperties>
</file>